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mcloudbridge.sharepoint.com/sites/DataAI/Shared Documents/6. 프로젝트 수행관리/PJT_필립모리스/On-Premise Server Cloud Migration 프로젝트/01. 프로젝트 WBS/"/>
    </mc:Choice>
  </mc:AlternateContent>
  <xr:revisionPtr revIDLastSave="935" documentId="13_ncr:1_{FA366AEA-671A-45D6-9BD2-82C7BD71AEA2}" xr6:coauthVersionLast="47" xr6:coauthVersionMax="47" xr10:uidLastSave="{AA20505A-2047-46BD-B918-7914E1465B96}"/>
  <bookViews>
    <workbookView xWindow="28680" yWindow="-120" windowWidth="29040" windowHeight="15720" firstSheet="10" activeTab="10" xr2:uid="{A630290C-CD9B-44C0-AD79-1DA0CC56F748}"/>
  </bookViews>
  <sheets>
    <sheet name="Home" sheetId="3" r:id="rId1"/>
    <sheet name="Table_CalendarTotal" sheetId="8" state="hidden" r:id="rId2"/>
    <sheet name="Table_CalendarHD" sheetId="10" state="hidden" r:id="rId3"/>
    <sheet name="Table_CalendarWD" sheetId="9" state="hidden" r:id="rId4"/>
    <sheet name="Table_Project" sheetId="1" state="hidden" r:id="rId5"/>
    <sheet name="Customer_TFT" sheetId="4" r:id="rId6"/>
    <sheet name="Table_전체직원목록" sheetId="7" state="hidden" r:id="rId7"/>
    <sheet name="Table_Developer" sheetId="6" state="hidden" r:id="rId8"/>
    <sheet name="Sheet1" sheetId="20" state="hidden" r:id="rId9"/>
    <sheet name="WBS_Schedule_Rev2.0" sheetId="23" r:id="rId10"/>
    <sheet name="WBS_Schedule_Rev2.1" sheetId="24" r:id="rId11"/>
  </sheets>
  <definedNames>
    <definedName name="_xlnm._FilterDatabase" localSheetId="8" hidden="1">Sheet1!$B$14:$Z$161</definedName>
    <definedName name="_xlnm._FilterDatabase" localSheetId="9" hidden="1">WBS_Schedule_Rev2.0!$B$16:$EB$128</definedName>
    <definedName name="_xlnm._FilterDatabase" localSheetId="10" hidden="1">WBS_Schedule_Rev2.1!$B$15:$EA$128</definedName>
    <definedName name="ActualBeyond" localSheetId="9">WBS_Schedule_Rev2.0!실제기간*(WBS_Schedule_Rev2.0!$Z1&gt;0)</definedName>
    <definedName name="ActualBeyond" localSheetId="10">WBS_Schedule_Rev2.1!실제기간*(WBS_Schedule_Rev2.1!$Y1&gt;0)</definedName>
    <definedName name="DeveloperTFT" localSheetId="10">Table_OurTFT[개발자_성명]</definedName>
    <definedName name="DeveloperTFT">Table_OurTFT[개발자_성명]</definedName>
    <definedName name="ExternalData_1" localSheetId="1" hidden="1">Table_CalendarTotal!$B$4:$F$163</definedName>
    <definedName name="ExternalData_1" localSheetId="6" hidden="1">Table_전체직원목록!$B$4:$L$66</definedName>
    <definedName name="ExternalData_2" localSheetId="3" hidden="1">Table_CalendarWD!$B$4:$F$114</definedName>
    <definedName name="ExternalData_3" localSheetId="2" hidden="1">Table_CalendarHD!$B$4:$F$53</definedName>
    <definedName name="Holidays" localSheetId="10">Table_CalendarHD[프로젝트일자]</definedName>
    <definedName name="Holidays">Table_CalendarHD[프로젝트일자]</definedName>
    <definedName name="PercentCompleteBeyond" localSheetId="9">(WBS_Schedule_Rev2.0!A$16=MEDIAN(WBS_Schedule_Rev2.0!A$16,WBS_Schedule_Rev2.0!$Z1,WBS_Schedule_Rev2.0!$Z1+WBS_Schedule_Rev2.0!$AA1)*(WBS_Schedule_Rev2.0!$Z1&gt;0))*((WBS_Schedule_Rev2.0!A$16&lt;(INT(WBS_Schedule_Rev2.0!$Z1+WBS_Schedule_Rev2.0!$AA1*WBS_Schedule_Rev2.0!$AC1)))+(WBS_Schedule_Rev2.0!A$16=WBS_Schedule_Rev2.0!$Z1))*(WBS_Schedule_Rev2.0!$AC1&gt;0)</definedName>
    <definedName name="PercentCompleteBeyond" localSheetId="10">(WBS_Schedule_Rev2.1!A$16=MEDIAN(WBS_Schedule_Rev2.1!A$16,WBS_Schedule_Rev2.1!$Y1,WBS_Schedule_Rev2.1!$Y1+WBS_Schedule_Rev2.1!$Z1)*(WBS_Schedule_Rev2.1!$Y1&gt;0))*((WBS_Schedule_Rev2.1!A$16&lt;(INT(WBS_Schedule_Rev2.1!$Y1+WBS_Schedule_Rev2.1!$Z1*WBS_Schedule_Rev2.1!$AB1)))+(WBS_Schedule_Rev2.1!A$16=WBS_Schedule_Rev2.1!$Y1))*(WBS_Schedule_Rev2.1!$AB1&gt;0)</definedName>
    <definedName name="PercentCompleteBeyond">(#REF!=MEDIAN(#REF!,#REF!,#REF!+#REF!)*(#REF!&gt;0))*((#REF!&lt;(INT(#REF!+#REF!*#REF!)))+(#REF!=#REF!))*(#REF!&gt;0)</definedName>
    <definedName name="period_selected" localSheetId="9">WBS_Schedule_Rev2.0!$AC$8</definedName>
    <definedName name="period_selected" localSheetId="10">WBS_Schedule_Rev2.1!$AB$8</definedName>
    <definedName name="PJTRole">"PM/Developer, PL/Developer, WK/Developer"</definedName>
    <definedName name="_xlnm.Print_Area" localSheetId="0">Home!$B$2:$L$11</definedName>
    <definedName name="_xlnm.Print_Titles" localSheetId="9">WBS_Schedule_Rev2.0!$15:$16</definedName>
    <definedName name="_xlnm.Print_Titles" localSheetId="10">WBS_Schedule_Rev2.1!$15:$16</definedName>
    <definedName name="ProjectType">"프로젝트, PoC"</definedName>
    <definedName name="WorkingDays" localSheetId="10">Table_CalendarWD[프로젝트일자]</definedName>
    <definedName name="WorkingDays">Table_CalendarWD[프로젝트일자]</definedName>
    <definedName name="계획" localSheetId="9">WBS_Schedule_Rev2.0!계획기간*(WBS_Schedule_Rev2.0!$W1&gt;0)</definedName>
    <definedName name="계획" localSheetId="10">WBS_Schedule_Rev2.1!계획기간*(WBS_Schedule_Rev2.1!$V1&gt;0)</definedName>
    <definedName name="계획기간" localSheetId="9">WBS_Schedule_Rev2.0!A$16=MEDIAN(WBS_Schedule_Rev2.0!A$16,WBS_Schedule_Rev2.0!$W1,WBS_Schedule_Rev2.0!$W1+WBS_Schedule_Rev2.0!$X1-1)</definedName>
    <definedName name="계획기간" localSheetId="10">WBS_Schedule_Rev2.1!A$16=MEDIAN(WBS_Schedule_Rev2.1!A$16,WBS_Schedule_Rev2.1!$V1,WBS_Schedule_Rev2.1!$V1+WBS_Schedule_Rev2.1!$W1-1)</definedName>
    <definedName name="계획기간">#REF!=MEDIAN(#REF!,#REF!,#REF!+#REF!-1)</definedName>
    <definedName name="성명직급" localSheetId="10">Table_전체직원목록[성명직급]</definedName>
    <definedName name="성명직급">Table_전체직원목록[성명직급]</definedName>
    <definedName name="실제" localSheetId="9">(WBS_Schedule_Rev2.0!실제기간*(WBS_Schedule_Rev2.0!$Z1&gt;0))*WBS_Schedule_Rev2.0!계획기간</definedName>
    <definedName name="실제" localSheetId="10">(WBS_Schedule_Rev2.1!실제기간*(WBS_Schedule_Rev2.1!$Y1&gt;0))*WBS_Schedule_Rev2.1!계획기간</definedName>
    <definedName name="실제기간" localSheetId="9">WBS_Schedule_Rev2.0!A$16=MEDIAN(WBS_Schedule_Rev2.0!A$16,WBS_Schedule_Rev2.0!$Z1,WBS_Schedule_Rev2.0!$Z1+WBS_Schedule_Rev2.0!$AA1-1)</definedName>
    <definedName name="실제기간" localSheetId="10">WBS_Schedule_Rev2.1!A$16=MEDIAN(WBS_Schedule_Rev2.1!A$16,WBS_Schedule_Rev2.1!$Y1,WBS_Schedule_Rev2.1!$Y1+WBS_Schedule_Rev2.1!$Z1-1)</definedName>
    <definedName name="완료율" localSheetId="9">WBS_Schedule_Rev2.0!PercentCompleteBeyond*WBS_Schedule_Rev2.0!계획기간</definedName>
    <definedName name="완료율" localSheetId="10">WBS_Schedule_Rev2.1!PercentCompleteBeyond*WBS_Schedule_Rev2.1!계획기간</definedName>
    <definedName name="제목영역..BO60" localSheetId="9">WBS_Schedule_Rev2.0!$B$15:$B$16</definedName>
    <definedName name="제목영역..BO60" localSheetId="10">WBS_Schedule_Rev2.1!$B$15:$B$16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전체직원목록_10d610cc-388f-4fd3-8339-db3f40097282" name="Table_전체직원목록" connection="쿼리 - Table_전체직원목록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" i="24" l="1"/>
  <c r="AB26" i="24"/>
  <c r="Z125" i="24"/>
  <c r="Z128" i="24"/>
  <c r="Z50" i="24"/>
  <c r="Z84" i="24"/>
  <c r="X128" i="24"/>
  <c r="Z96" i="24"/>
  <c r="X110" i="24"/>
  <c r="Z91" i="24"/>
  <c r="Z120" i="24"/>
  <c r="Z119" i="24"/>
  <c r="Z118" i="24"/>
  <c r="Z114" i="24"/>
  <c r="Z113" i="24"/>
  <c r="Z112" i="24"/>
  <c r="Z111" i="24"/>
  <c r="Z110" i="24"/>
  <c r="Z81" i="24"/>
  <c r="Z47" i="24"/>
  <c r="Z102" i="24"/>
  <c r="X89" i="24"/>
  <c r="AC51" i="24"/>
  <c r="Z51" i="24"/>
  <c r="X51" i="24"/>
  <c r="AC50" i="24"/>
  <c r="X50" i="24"/>
  <c r="AB49" i="24"/>
  <c r="AC49" i="24" s="1"/>
  <c r="AA49" i="24"/>
  <c r="Y49" i="24"/>
  <c r="V49" i="24"/>
  <c r="U49" i="24"/>
  <c r="T49" i="24"/>
  <c r="S49" i="24"/>
  <c r="R49" i="24"/>
  <c r="Q49" i="24"/>
  <c r="P49" i="24"/>
  <c r="O49" i="24"/>
  <c r="N49" i="24"/>
  <c r="M49" i="24"/>
  <c r="L49" i="24"/>
  <c r="K49" i="24"/>
  <c r="J49" i="24"/>
  <c r="I49" i="24"/>
  <c r="AC85" i="24"/>
  <c r="Z85" i="24"/>
  <c r="X85" i="24"/>
  <c r="AC95" i="24"/>
  <c r="Z95" i="24"/>
  <c r="X95" i="24"/>
  <c r="I83" i="24"/>
  <c r="J83" i="24"/>
  <c r="K83" i="24"/>
  <c r="L83" i="24"/>
  <c r="M83" i="24"/>
  <c r="N83" i="24"/>
  <c r="O83" i="24"/>
  <c r="P83" i="24"/>
  <c r="Q83" i="24"/>
  <c r="R83" i="24"/>
  <c r="S83" i="24"/>
  <c r="T83" i="24"/>
  <c r="U83" i="24"/>
  <c r="V83" i="24"/>
  <c r="Y83" i="24"/>
  <c r="AA83" i="24"/>
  <c r="AB83" i="24"/>
  <c r="AC83" i="24" s="1"/>
  <c r="X84" i="24"/>
  <c r="AC84" i="24"/>
  <c r="X49" i="24" l="1"/>
  <c r="W49" i="24" s="1"/>
  <c r="Z49" i="24"/>
  <c r="Z83" i="24"/>
  <c r="X83" i="24"/>
  <c r="W83" i="24" s="1"/>
  <c r="AC97" i="24" l="1"/>
  <c r="Z97" i="24"/>
  <c r="X97" i="24"/>
  <c r="AC96" i="24"/>
  <c r="X96" i="24"/>
  <c r="AC94" i="24"/>
  <c r="Z94" i="24"/>
  <c r="X94" i="24"/>
  <c r="AB93" i="24"/>
  <c r="AC93" i="24" s="1"/>
  <c r="AA93" i="24"/>
  <c r="Y93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AC90" i="24"/>
  <c r="Z90" i="24"/>
  <c r="X90" i="24"/>
  <c r="Z105" i="24"/>
  <c r="Z93" i="24" l="1"/>
  <c r="X93" i="24"/>
  <c r="W93" i="24" s="1"/>
  <c r="O116" i="24"/>
  <c r="O115" i="24" s="1"/>
  <c r="O108" i="24"/>
  <c r="O107" i="24" s="1"/>
  <c r="O103" i="24"/>
  <c r="O100" i="24"/>
  <c r="O16" i="24"/>
  <c r="P126" i="24"/>
  <c r="P123" i="24"/>
  <c r="P116" i="24"/>
  <c r="P115" i="24" s="1"/>
  <c r="P108" i="24"/>
  <c r="P107" i="24" s="1"/>
  <c r="P103" i="24"/>
  <c r="P100" i="24"/>
  <c r="P88" i="24"/>
  <c r="P87" i="24" s="1"/>
  <c r="P86" i="24" s="1"/>
  <c r="P79" i="24"/>
  <c r="P73" i="24"/>
  <c r="P69" i="24"/>
  <c r="P63" i="24"/>
  <c r="P60" i="24"/>
  <c r="P53" i="24"/>
  <c r="P45" i="24"/>
  <c r="P39" i="24"/>
  <c r="P35" i="24"/>
  <c r="P29" i="24"/>
  <c r="P26" i="24"/>
  <c r="P19" i="24"/>
  <c r="H7" i="6"/>
  <c r="H8" i="6"/>
  <c r="I8" i="6"/>
  <c r="J8" i="6"/>
  <c r="K8" i="6"/>
  <c r="L8" i="6"/>
  <c r="M8" i="6"/>
  <c r="N8" i="6"/>
  <c r="O8" i="6"/>
  <c r="P8" i="6"/>
  <c r="Z37" i="24"/>
  <c r="Z38" i="24"/>
  <c r="Z71" i="24"/>
  <c r="V126" i="24"/>
  <c r="AC128" i="24"/>
  <c r="AC127" i="24"/>
  <c r="Z127" i="24"/>
  <c r="X127" i="24"/>
  <c r="AB126" i="24"/>
  <c r="AC126" i="24" s="1"/>
  <c r="AA126" i="24"/>
  <c r="Y126" i="24"/>
  <c r="U126" i="24"/>
  <c r="T126" i="24"/>
  <c r="S126" i="24"/>
  <c r="R126" i="24"/>
  <c r="Q126" i="24"/>
  <c r="O126" i="24"/>
  <c r="N126" i="24"/>
  <c r="M126" i="24"/>
  <c r="L126" i="24"/>
  <c r="K126" i="24"/>
  <c r="J126" i="24"/>
  <c r="I126" i="24"/>
  <c r="AC125" i="24"/>
  <c r="X125" i="24"/>
  <c r="AC124" i="24"/>
  <c r="Z124" i="24"/>
  <c r="X124" i="24"/>
  <c r="AB123" i="24"/>
  <c r="AC123" i="24" s="1"/>
  <c r="AA123" i="24"/>
  <c r="Y123" i="24"/>
  <c r="V123" i="24"/>
  <c r="U123" i="24"/>
  <c r="T123" i="24"/>
  <c r="S123" i="24"/>
  <c r="R123" i="24"/>
  <c r="Q123" i="24"/>
  <c r="O123" i="24"/>
  <c r="N123" i="24"/>
  <c r="M123" i="24"/>
  <c r="L123" i="24"/>
  <c r="K123" i="24"/>
  <c r="J123" i="24"/>
  <c r="I123" i="24"/>
  <c r="AC120" i="24"/>
  <c r="AC119" i="24"/>
  <c r="AC118" i="24"/>
  <c r="X118" i="24"/>
  <c r="AC117" i="24"/>
  <c r="Z117" i="24"/>
  <c r="X117" i="24"/>
  <c r="AB116" i="24"/>
  <c r="AB115" i="24" s="1"/>
  <c r="AC115" i="24" s="1"/>
  <c r="AA116" i="24"/>
  <c r="AA115" i="24" s="1"/>
  <c r="Y116" i="24"/>
  <c r="Y115" i="24" s="1"/>
  <c r="V116" i="24"/>
  <c r="V115" i="24" s="1"/>
  <c r="U116" i="24"/>
  <c r="U115" i="24" s="1"/>
  <c r="T116" i="24"/>
  <c r="T115" i="24" s="1"/>
  <c r="S116" i="24"/>
  <c r="S115" i="24" s="1"/>
  <c r="R116" i="24"/>
  <c r="R115" i="24" s="1"/>
  <c r="Q116" i="24"/>
  <c r="Q115" i="24" s="1"/>
  <c r="N116" i="24"/>
  <c r="N115" i="24" s="1"/>
  <c r="M116" i="24"/>
  <c r="M115" i="24" s="1"/>
  <c r="L116" i="24"/>
  <c r="L115" i="24" s="1"/>
  <c r="K116" i="24"/>
  <c r="K115" i="24" s="1"/>
  <c r="J116" i="24"/>
  <c r="J115" i="24" s="1"/>
  <c r="I116" i="24"/>
  <c r="I115" i="24" s="1"/>
  <c r="AC114" i="24"/>
  <c r="X114" i="24"/>
  <c r="AC113" i="24"/>
  <c r="X113" i="24"/>
  <c r="AC112" i="24"/>
  <c r="X112" i="24"/>
  <c r="AC111" i="24"/>
  <c r="X111" i="24"/>
  <c r="AC110" i="24"/>
  <c r="AC109" i="24"/>
  <c r="Z109" i="24"/>
  <c r="X109" i="24"/>
  <c r="AB108" i="24"/>
  <c r="AC108" i="24" s="1"/>
  <c r="AA108" i="24"/>
  <c r="AA107" i="24" s="1"/>
  <c r="Y108" i="24"/>
  <c r="V108" i="24"/>
  <c r="V107" i="24" s="1"/>
  <c r="U108" i="24"/>
  <c r="U107" i="24" s="1"/>
  <c r="T108" i="24"/>
  <c r="T107" i="24" s="1"/>
  <c r="S108" i="24"/>
  <c r="S107" i="24" s="1"/>
  <c r="R108" i="24"/>
  <c r="R107" i="24" s="1"/>
  <c r="Q108" i="24"/>
  <c r="Q107" i="24" s="1"/>
  <c r="N108" i="24"/>
  <c r="N107" i="24" s="1"/>
  <c r="M108" i="24"/>
  <c r="M107" i="24" s="1"/>
  <c r="L108" i="24"/>
  <c r="L107" i="24" s="1"/>
  <c r="K108" i="24"/>
  <c r="K107" i="24" s="1"/>
  <c r="J108" i="24"/>
  <c r="J107" i="24" s="1"/>
  <c r="I108" i="24"/>
  <c r="I107" i="24" s="1"/>
  <c r="AC106" i="24"/>
  <c r="Z106" i="24"/>
  <c r="X106" i="24"/>
  <c r="AC105" i="24"/>
  <c r="X105" i="24"/>
  <c r="AC104" i="24"/>
  <c r="Z104" i="24"/>
  <c r="X104" i="24"/>
  <c r="AB103" i="24"/>
  <c r="AC103" i="24" s="1"/>
  <c r="AA103" i="24"/>
  <c r="Y103" i="24"/>
  <c r="V103" i="24"/>
  <c r="U103" i="24"/>
  <c r="T103" i="24"/>
  <c r="S103" i="24"/>
  <c r="R103" i="24"/>
  <c r="Q103" i="24"/>
  <c r="N103" i="24"/>
  <c r="M103" i="24"/>
  <c r="L103" i="24"/>
  <c r="K103" i="24"/>
  <c r="J103" i="24"/>
  <c r="I103" i="24"/>
  <c r="AC102" i="24"/>
  <c r="X102" i="24"/>
  <c r="AC101" i="24"/>
  <c r="Z101" i="24"/>
  <c r="X101" i="24"/>
  <c r="AB100" i="24"/>
  <c r="AC100" i="24" s="1"/>
  <c r="AA100" i="24"/>
  <c r="Y100" i="24"/>
  <c r="V100" i="24"/>
  <c r="U100" i="24"/>
  <c r="T100" i="24"/>
  <c r="S100" i="24"/>
  <c r="R100" i="24"/>
  <c r="Q100" i="24"/>
  <c r="N100" i="24"/>
  <c r="M100" i="24"/>
  <c r="L100" i="24"/>
  <c r="K100" i="24"/>
  <c r="J100" i="24"/>
  <c r="I100" i="24"/>
  <c r="AC92" i="24"/>
  <c r="Z92" i="24"/>
  <c r="X92" i="24"/>
  <c r="AC91" i="24"/>
  <c r="X91" i="24"/>
  <c r="AC89" i="24"/>
  <c r="Z89" i="24"/>
  <c r="AB88" i="24"/>
  <c r="AB87" i="24" s="1"/>
  <c r="AC87" i="24" s="1"/>
  <c r="AA88" i="24"/>
  <c r="AA87" i="24" s="1"/>
  <c r="AA86" i="24" s="1"/>
  <c r="Y88" i="24"/>
  <c r="V88" i="24"/>
  <c r="V87" i="24" s="1"/>
  <c r="V86" i="24" s="1"/>
  <c r="U88" i="24"/>
  <c r="U87" i="24" s="1"/>
  <c r="U86" i="24" s="1"/>
  <c r="T88" i="24"/>
  <c r="T87" i="24" s="1"/>
  <c r="T86" i="24" s="1"/>
  <c r="S88" i="24"/>
  <c r="S87" i="24" s="1"/>
  <c r="S86" i="24" s="1"/>
  <c r="R88" i="24"/>
  <c r="R87" i="24" s="1"/>
  <c r="R86" i="24" s="1"/>
  <c r="Q88" i="24"/>
  <c r="Q87" i="24" s="1"/>
  <c r="Q86" i="24" s="1"/>
  <c r="O88" i="24"/>
  <c r="O87" i="24" s="1"/>
  <c r="O86" i="24" s="1"/>
  <c r="N88" i="24"/>
  <c r="N87" i="24" s="1"/>
  <c r="N86" i="24" s="1"/>
  <c r="M88" i="24"/>
  <c r="M87" i="24" s="1"/>
  <c r="M86" i="24" s="1"/>
  <c r="L88" i="24"/>
  <c r="L87" i="24" s="1"/>
  <c r="L86" i="24" s="1"/>
  <c r="K88" i="24"/>
  <c r="K87" i="24" s="1"/>
  <c r="K86" i="24" s="1"/>
  <c r="J88" i="24"/>
  <c r="J87" i="24" s="1"/>
  <c r="J86" i="24" s="1"/>
  <c r="I88" i="24"/>
  <c r="I87" i="24" s="1"/>
  <c r="I86" i="24" s="1"/>
  <c r="AC82" i="24"/>
  <c r="Z82" i="24"/>
  <c r="X82" i="24"/>
  <c r="AC81" i="24"/>
  <c r="X81" i="24"/>
  <c r="AC80" i="24"/>
  <c r="Z80" i="24"/>
  <c r="X80" i="24"/>
  <c r="AB79" i="24"/>
  <c r="AC79" i="24" s="1"/>
  <c r="AA79" i="24"/>
  <c r="Y79" i="24"/>
  <c r="V79" i="24"/>
  <c r="U79" i="24"/>
  <c r="T79" i="24"/>
  <c r="S79" i="24"/>
  <c r="R79" i="24"/>
  <c r="Q79" i="24"/>
  <c r="O79" i="24"/>
  <c r="N79" i="24"/>
  <c r="M79" i="24"/>
  <c r="L79" i="24"/>
  <c r="K79" i="24"/>
  <c r="J79" i="24"/>
  <c r="I79" i="24"/>
  <c r="AC78" i="24"/>
  <c r="Z78" i="24"/>
  <c r="X78" i="24"/>
  <c r="AC77" i="24"/>
  <c r="Z77" i="24"/>
  <c r="X77" i="24"/>
  <c r="AC76" i="24"/>
  <c r="Z76" i="24"/>
  <c r="X76" i="24"/>
  <c r="AC75" i="24"/>
  <c r="Z75" i="24"/>
  <c r="X75" i="24"/>
  <c r="AC74" i="24"/>
  <c r="Z74" i="24"/>
  <c r="X74" i="24"/>
  <c r="AB73" i="24"/>
  <c r="AC73" i="24" s="1"/>
  <c r="AA73" i="24"/>
  <c r="Y73" i="24"/>
  <c r="V73" i="24"/>
  <c r="U73" i="24"/>
  <c r="T73" i="24"/>
  <c r="S73" i="24"/>
  <c r="R73" i="24"/>
  <c r="Q73" i="24"/>
  <c r="O73" i="24"/>
  <c r="N73" i="24"/>
  <c r="M73" i="24"/>
  <c r="L73" i="24"/>
  <c r="K73" i="24"/>
  <c r="J73" i="24"/>
  <c r="I73" i="24"/>
  <c r="AC72" i="24"/>
  <c r="Z72" i="24"/>
  <c r="X72" i="24"/>
  <c r="AC71" i="24"/>
  <c r="X71" i="24"/>
  <c r="AC70" i="24"/>
  <c r="Z70" i="24"/>
  <c r="X70" i="24"/>
  <c r="AB69" i="24"/>
  <c r="AC69" i="24" s="1"/>
  <c r="AA69" i="24"/>
  <c r="Y69" i="24"/>
  <c r="V69" i="24"/>
  <c r="U69" i="24"/>
  <c r="T69" i="24"/>
  <c r="S69" i="24"/>
  <c r="R69" i="24"/>
  <c r="Q69" i="24"/>
  <c r="O69" i="24"/>
  <c r="N69" i="24"/>
  <c r="M69" i="24"/>
  <c r="L69" i="24"/>
  <c r="K69" i="24"/>
  <c r="J69" i="24"/>
  <c r="I69" i="24"/>
  <c r="AC68" i="24"/>
  <c r="Z68" i="24"/>
  <c r="X68" i="24"/>
  <c r="AC67" i="24"/>
  <c r="Z67" i="24"/>
  <c r="X67" i="24"/>
  <c r="AC66" i="24"/>
  <c r="Z66" i="24"/>
  <c r="X66" i="24"/>
  <c r="AC65" i="24"/>
  <c r="Z65" i="24"/>
  <c r="X65" i="24"/>
  <c r="AC64" i="24"/>
  <c r="Z64" i="24"/>
  <c r="X64" i="24"/>
  <c r="AB63" i="24"/>
  <c r="AC63" i="24" s="1"/>
  <c r="AA63" i="24"/>
  <c r="Y63" i="24"/>
  <c r="V63" i="24"/>
  <c r="U63" i="24"/>
  <c r="T63" i="24"/>
  <c r="S63" i="24"/>
  <c r="R63" i="24"/>
  <c r="Q63" i="24"/>
  <c r="O63" i="24"/>
  <c r="N63" i="24"/>
  <c r="M63" i="24"/>
  <c r="L63" i="24"/>
  <c r="K63" i="24"/>
  <c r="J63" i="24"/>
  <c r="I63" i="24"/>
  <c r="AC62" i="24"/>
  <c r="Z62" i="24"/>
  <c r="X62" i="24"/>
  <c r="AC61" i="24"/>
  <c r="Z61" i="24"/>
  <c r="X61" i="24"/>
  <c r="AB60" i="24"/>
  <c r="AC60" i="24" s="1"/>
  <c r="AA60" i="24"/>
  <c r="Y60" i="24"/>
  <c r="V60" i="24"/>
  <c r="U60" i="24"/>
  <c r="T60" i="24"/>
  <c r="S60" i="24"/>
  <c r="R60" i="24"/>
  <c r="Q60" i="24"/>
  <c r="O60" i="24"/>
  <c r="N60" i="24"/>
  <c r="M60" i="24"/>
  <c r="L60" i="24"/>
  <c r="K60" i="24"/>
  <c r="J60" i="24"/>
  <c r="I60" i="24"/>
  <c r="AC59" i="24"/>
  <c r="Z59" i="24"/>
  <c r="X59" i="24"/>
  <c r="AC58" i="24"/>
  <c r="Z58" i="24"/>
  <c r="X58" i="24"/>
  <c r="AC57" i="24"/>
  <c r="Z57" i="24"/>
  <c r="X57" i="24"/>
  <c r="AC56" i="24"/>
  <c r="Z56" i="24"/>
  <c r="X56" i="24"/>
  <c r="AC55" i="24"/>
  <c r="Z55" i="24"/>
  <c r="X55" i="24"/>
  <c r="AC54" i="24"/>
  <c r="Z54" i="24"/>
  <c r="X54" i="24"/>
  <c r="AB53" i="24"/>
  <c r="AA53" i="24"/>
  <c r="Y53" i="24"/>
  <c r="V53" i="24"/>
  <c r="U53" i="24"/>
  <c r="T53" i="24"/>
  <c r="S53" i="24"/>
  <c r="R53" i="24"/>
  <c r="Q53" i="24"/>
  <c r="O53" i="24"/>
  <c r="N53" i="24"/>
  <c r="M53" i="24"/>
  <c r="L53" i="24"/>
  <c r="K53" i="24"/>
  <c r="J53" i="24"/>
  <c r="I53" i="24"/>
  <c r="AC48" i="24"/>
  <c r="Z48" i="24"/>
  <c r="X48" i="24"/>
  <c r="AC47" i="24"/>
  <c r="X47" i="24"/>
  <c r="AC46" i="24"/>
  <c r="Z46" i="24"/>
  <c r="X46" i="24"/>
  <c r="AB45" i="24"/>
  <c r="AC45" i="24" s="1"/>
  <c r="AA45" i="24"/>
  <c r="Y45" i="24"/>
  <c r="V45" i="24"/>
  <c r="U45" i="24"/>
  <c r="T45" i="24"/>
  <c r="S45" i="24"/>
  <c r="R45" i="24"/>
  <c r="Q45" i="24"/>
  <c r="O45" i="24"/>
  <c r="N45" i="24"/>
  <c r="M45" i="24"/>
  <c r="L45" i="24"/>
  <c r="K45" i="24"/>
  <c r="J45" i="24"/>
  <c r="I45" i="24"/>
  <c r="AC44" i="24"/>
  <c r="Z44" i="24"/>
  <c r="X44" i="24"/>
  <c r="AC43" i="24"/>
  <c r="Z43" i="24"/>
  <c r="X43" i="24"/>
  <c r="AC42" i="24"/>
  <c r="Z42" i="24"/>
  <c r="X42" i="24"/>
  <c r="AC41" i="24"/>
  <c r="Z41" i="24"/>
  <c r="X41" i="24"/>
  <c r="AC40" i="24"/>
  <c r="Z40" i="24"/>
  <c r="X40" i="24"/>
  <c r="AB39" i="24"/>
  <c r="AC39" i="24" s="1"/>
  <c r="AA39" i="24"/>
  <c r="Y39" i="24"/>
  <c r="V39" i="24"/>
  <c r="U39" i="24"/>
  <c r="T39" i="24"/>
  <c r="S39" i="24"/>
  <c r="R39" i="24"/>
  <c r="Q39" i="24"/>
  <c r="O39" i="24"/>
  <c r="N39" i="24"/>
  <c r="M39" i="24"/>
  <c r="L39" i="24"/>
  <c r="K39" i="24"/>
  <c r="J39" i="24"/>
  <c r="I39" i="24"/>
  <c r="AC38" i="24"/>
  <c r="X38" i="24"/>
  <c r="AC37" i="24"/>
  <c r="X37" i="24"/>
  <c r="AC36" i="24"/>
  <c r="Z36" i="24"/>
  <c r="X36" i="24"/>
  <c r="AB35" i="24"/>
  <c r="AC35" i="24" s="1"/>
  <c r="AA35" i="24"/>
  <c r="Y35" i="24"/>
  <c r="V35" i="24"/>
  <c r="U35" i="24"/>
  <c r="T35" i="24"/>
  <c r="S35" i="24"/>
  <c r="R35" i="24"/>
  <c r="Q35" i="24"/>
  <c r="O35" i="24"/>
  <c r="N35" i="24"/>
  <c r="M35" i="24"/>
  <c r="L35" i="24"/>
  <c r="K35" i="24"/>
  <c r="J35" i="24"/>
  <c r="I35" i="24"/>
  <c r="AC34" i="24"/>
  <c r="Z34" i="24"/>
  <c r="X34" i="24"/>
  <c r="AC33" i="24"/>
  <c r="Z33" i="24"/>
  <c r="X33" i="24"/>
  <c r="AC32" i="24"/>
  <c r="Z32" i="24"/>
  <c r="X32" i="24"/>
  <c r="AC31" i="24"/>
  <c r="Z31" i="24"/>
  <c r="X31" i="24"/>
  <c r="AC30" i="24"/>
  <c r="Z30" i="24"/>
  <c r="X30" i="24"/>
  <c r="AB29" i="24"/>
  <c r="AA29" i="24"/>
  <c r="Y29" i="24"/>
  <c r="V29" i="24"/>
  <c r="U29" i="24"/>
  <c r="T29" i="24"/>
  <c r="S29" i="24"/>
  <c r="R29" i="24"/>
  <c r="Q29" i="24"/>
  <c r="O29" i="24"/>
  <c r="N29" i="24"/>
  <c r="M29" i="24"/>
  <c r="L29" i="24"/>
  <c r="K29" i="24"/>
  <c r="J29" i="24"/>
  <c r="I29" i="24"/>
  <c r="AC28" i="24"/>
  <c r="Z28" i="24"/>
  <c r="X28" i="24"/>
  <c r="AC27" i="24"/>
  <c r="Z27" i="24"/>
  <c r="X27" i="24"/>
  <c r="AC26" i="24"/>
  <c r="AA26" i="24"/>
  <c r="Y26" i="24"/>
  <c r="V26" i="24"/>
  <c r="U26" i="24"/>
  <c r="T26" i="24"/>
  <c r="S26" i="24"/>
  <c r="R26" i="24"/>
  <c r="Q26" i="24"/>
  <c r="O26" i="24"/>
  <c r="N26" i="24"/>
  <c r="M26" i="24"/>
  <c r="L26" i="24"/>
  <c r="K26" i="24"/>
  <c r="J26" i="24"/>
  <c r="I26" i="24"/>
  <c r="AC25" i="24"/>
  <c r="Z25" i="24"/>
  <c r="X25" i="24"/>
  <c r="AC24" i="24"/>
  <c r="Z24" i="24"/>
  <c r="X24" i="24"/>
  <c r="AC23" i="24"/>
  <c r="Z23" i="24"/>
  <c r="X23" i="24"/>
  <c r="AC22" i="24"/>
  <c r="Z22" i="24"/>
  <c r="X22" i="24"/>
  <c r="AC21" i="24"/>
  <c r="Z21" i="24"/>
  <c r="X21" i="24"/>
  <c r="AC20" i="24"/>
  <c r="Z20" i="24"/>
  <c r="X20" i="24"/>
  <c r="AC19" i="24"/>
  <c r="AA19" i="24"/>
  <c r="Y19" i="24"/>
  <c r="V19" i="24"/>
  <c r="U19" i="24"/>
  <c r="T19" i="24"/>
  <c r="S19" i="24"/>
  <c r="R19" i="24"/>
  <c r="Q19" i="24"/>
  <c r="O19" i="24"/>
  <c r="N19" i="24"/>
  <c r="M19" i="24"/>
  <c r="L19" i="24"/>
  <c r="K19" i="24"/>
  <c r="J19" i="24"/>
  <c r="I19" i="24"/>
  <c r="EA16" i="24" a="1"/>
  <c r="EA16" i="24" s="1"/>
  <c r="DZ16" i="24" a="1"/>
  <c r="DZ16" i="24" s="1"/>
  <c r="DY16" i="24" a="1"/>
  <c r="DY16" i="24" s="1"/>
  <c r="DX16" i="24" a="1"/>
  <c r="DX16" i="24" s="1"/>
  <c r="DW16" i="24" a="1"/>
  <c r="DW16" i="24" s="1"/>
  <c r="DV16" i="24" a="1"/>
  <c r="DV16" i="24" s="1"/>
  <c r="DU16" i="24" a="1"/>
  <c r="DU16" i="24" s="1"/>
  <c r="DT16" i="24" a="1"/>
  <c r="DT16" i="24" s="1"/>
  <c r="DS16" i="24" a="1"/>
  <c r="DS16" i="24" s="1"/>
  <c r="DR16" i="24" a="1"/>
  <c r="DR16" i="24" s="1"/>
  <c r="DQ16" i="24" a="1"/>
  <c r="DQ16" i="24" s="1"/>
  <c r="DP16" i="24" a="1"/>
  <c r="DP16" i="24" s="1"/>
  <c r="DO16" i="24" a="1"/>
  <c r="DO16" i="24" s="1"/>
  <c r="DN16" i="24" a="1"/>
  <c r="DN16" i="24" s="1"/>
  <c r="DM16" i="24" a="1"/>
  <c r="DM16" i="24" s="1"/>
  <c r="DL16" i="24" a="1"/>
  <c r="DL16" i="24" s="1"/>
  <c r="DK16" i="24" a="1"/>
  <c r="DK16" i="24" s="1"/>
  <c r="DJ16" i="24" a="1"/>
  <c r="DJ16" i="24" s="1"/>
  <c r="DI16" i="24" a="1"/>
  <c r="DI16" i="24" s="1"/>
  <c r="DH16" i="24" a="1"/>
  <c r="DH16" i="24" s="1"/>
  <c r="DG16" i="24" a="1"/>
  <c r="DG16" i="24" s="1"/>
  <c r="DF16" i="24" a="1"/>
  <c r="DF16" i="24" s="1"/>
  <c r="DE16" i="24" a="1"/>
  <c r="DE16" i="24" s="1"/>
  <c r="DD16" i="24" a="1"/>
  <c r="DD16" i="24" s="1"/>
  <c r="DC16" i="24" a="1"/>
  <c r="DC16" i="24" s="1"/>
  <c r="DB16" i="24" a="1"/>
  <c r="DB16" i="24" s="1"/>
  <c r="DA16" i="24" a="1"/>
  <c r="DA16" i="24" s="1"/>
  <c r="CZ16" i="24" a="1"/>
  <c r="CZ16" i="24" s="1"/>
  <c r="CY16" i="24" a="1"/>
  <c r="CY16" i="24" s="1"/>
  <c r="CX16" i="24" a="1"/>
  <c r="CX16" i="24" s="1"/>
  <c r="CW16" i="24" a="1"/>
  <c r="CW16" i="24" s="1"/>
  <c r="CV16" i="24" a="1"/>
  <c r="CV16" i="24" s="1"/>
  <c r="CU16" i="24" a="1"/>
  <c r="CU16" i="24" s="1"/>
  <c r="CT16" i="24" a="1"/>
  <c r="CT16" i="24" s="1"/>
  <c r="CS16" i="24" a="1"/>
  <c r="CS16" i="24" s="1"/>
  <c r="CR16" i="24" a="1"/>
  <c r="CR16" i="24" s="1"/>
  <c r="CQ16" i="24" a="1"/>
  <c r="CQ16" i="24" s="1"/>
  <c r="CP16" i="24" a="1"/>
  <c r="CP16" i="24" s="1"/>
  <c r="CO16" i="24" a="1"/>
  <c r="CO16" i="24" s="1"/>
  <c r="CN16" i="24" a="1"/>
  <c r="CN16" i="24" s="1"/>
  <c r="CM16" i="24" a="1"/>
  <c r="CM16" i="24" s="1"/>
  <c r="CL16" i="24" a="1"/>
  <c r="CL16" i="24" s="1"/>
  <c r="CK16" i="24" a="1"/>
  <c r="CK16" i="24" s="1"/>
  <c r="CJ16" i="24" a="1"/>
  <c r="CJ16" i="24" s="1"/>
  <c r="CI16" i="24" a="1"/>
  <c r="CI16" i="24" s="1"/>
  <c r="CH16" i="24" a="1"/>
  <c r="CH16" i="24" s="1"/>
  <c r="CG16" i="24" a="1"/>
  <c r="CG16" i="24" s="1"/>
  <c r="CF16" i="24" a="1"/>
  <c r="CF16" i="24" s="1"/>
  <c r="CE16" i="24" a="1"/>
  <c r="CE16" i="24" s="1"/>
  <c r="CD16" i="24" a="1"/>
  <c r="CD16" i="24" s="1"/>
  <c r="CC16" i="24" a="1"/>
  <c r="CC16" i="24" s="1"/>
  <c r="CB16" i="24" a="1"/>
  <c r="CB16" i="24" s="1"/>
  <c r="CA16" i="24" a="1"/>
  <c r="CA16" i="24" s="1"/>
  <c r="BZ16" i="24" a="1"/>
  <c r="BZ16" i="24" s="1"/>
  <c r="BY16" i="24" a="1"/>
  <c r="BY16" i="24" s="1"/>
  <c r="BX16" i="24" a="1"/>
  <c r="BX16" i="24" s="1"/>
  <c r="BW16" i="24" a="1"/>
  <c r="BW16" i="24" s="1"/>
  <c r="BV16" i="24" a="1"/>
  <c r="BV16" i="24" s="1"/>
  <c r="BU16" i="24" a="1"/>
  <c r="BU16" i="24" s="1"/>
  <c r="BT16" i="24" a="1"/>
  <c r="BT16" i="24" s="1"/>
  <c r="BS16" i="24" a="1"/>
  <c r="BS16" i="24" s="1"/>
  <c r="BR16" i="24" a="1"/>
  <c r="BR16" i="24" s="1"/>
  <c r="BQ16" i="24" a="1"/>
  <c r="BQ16" i="24" s="1"/>
  <c r="BP16" i="24" a="1"/>
  <c r="BP16" i="24" s="1"/>
  <c r="BO16" i="24" a="1"/>
  <c r="BO16" i="24" s="1"/>
  <c r="BN16" i="24" a="1"/>
  <c r="BN16" i="24" s="1"/>
  <c r="BM16" i="24" a="1"/>
  <c r="BM16" i="24" s="1"/>
  <c r="BL16" i="24" a="1"/>
  <c r="BL16" i="24" s="1"/>
  <c r="BK16" i="24" a="1"/>
  <c r="BK16" i="24" s="1"/>
  <c r="BJ16" i="24" a="1"/>
  <c r="BJ16" i="24" s="1"/>
  <c r="BI16" i="24" a="1"/>
  <c r="BI16" i="24" s="1"/>
  <c r="BH16" i="24" a="1"/>
  <c r="BH16" i="24" s="1"/>
  <c r="BG16" i="24" a="1"/>
  <c r="BG16" i="24" s="1"/>
  <c r="BF16" i="24" a="1"/>
  <c r="BF16" i="24" s="1"/>
  <c r="BE16" i="24" a="1"/>
  <c r="BE16" i="24" s="1"/>
  <c r="BD16" i="24" a="1"/>
  <c r="BD16" i="24" s="1"/>
  <c r="BC16" i="24" a="1"/>
  <c r="BC16" i="24" s="1"/>
  <c r="BB16" i="24" a="1"/>
  <c r="BB16" i="24" s="1"/>
  <c r="BA16" i="24" a="1"/>
  <c r="BA16" i="24" s="1"/>
  <c r="AZ16" i="24" a="1"/>
  <c r="AZ16" i="24" s="1"/>
  <c r="AY16" i="24" a="1"/>
  <c r="AY16" i="24" s="1"/>
  <c r="AX16" i="24" a="1"/>
  <c r="AX16" i="24" s="1"/>
  <c r="AW16" i="24" a="1"/>
  <c r="AW16" i="24" s="1"/>
  <c r="AV16" i="24" a="1"/>
  <c r="AV16" i="24" s="1"/>
  <c r="AU16" i="24" a="1"/>
  <c r="AU16" i="24" s="1"/>
  <c r="AT16" i="24" a="1"/>
  <c r="AT16" i="24" s="1"/>
  <c r="AS16" i="24" a="1"/>
  <c r="AS16" i="24" s="1"/>
  <c r="AR16" i="24" a="1"/>
  <c r="AR16" i="24" s="1"/>
  <c r="AQ16" i="24" a="1"/>
  <c r="AQ16" i="24" s="1"/>
  <c r="AP16" i="24" a="1"/>
  <c r="AP16" i="24" s="1"/>
  <c r="AO16" i="24" a="1"/>
  <c r="AO16" i="24" s="1"/>
  <c r="AN16" i="24" a="1"/>
  <c r="AN16" i="24" s="1"/>
  <c r="AM16" i="24" a="1"/>
  <c r="AM16" i="24" s="1"/>
  <c r="AL16" i="24" a="1"/>
  <c r="AL16" i="24" s="1"/>
  <c r="AK16" i="24" a="1"/>
  <c r="AK16" i="24" s="1"/>
  <c r="AJ16" i="24" a="1"/>
  <c r="AJ16" i="24" s="1"/>
  <c r="AI16" i="24" a="1"/>
  <c r="AI16" i="24" s="1"/>
  <c r="AH16" i="24" a="1"/>
  <c r="AH16" i="24" s="1"/>
  <c r="AG16" i="24" a="1"/>
  <c r="AG16" i="24" s="1"/>
  <c r="AF16" i="24" a="1"/>
  <c r="AF16" i="24" s="1"/>
  <c r="AE16" i="24" a="1"/>
  <c r="AE16" i="24" s="1"/>
  <c r="U16" i="24"/>
  <c r="T16" i="24"/>
  <c r="S16" i="24"/>
  <c r="R16" i="24"/>
  <c r="Q16" i="24"/>
  <c r="N16" i="24"/>
  <c r="M16" i="24"/>
  <c r="L16" i="24"/>
  <c r="EA15" i="24" a="1"/>
  <c r="EA15" i="24" s="1"/>
  <c r="DZ15" i="24" a="1"/>
  <c r="DZ15" i="24" s="1"/>
  <c r="DY15" i="24" a="1"/>
  <c r="DY15" i="24" s="1"/>
  <c r="DX15" i="24" a="1"/>
  <c r="DX15" i="24" s="1"/>
  <c r="DW15" i="24" a="1"/>
  <c r="DW15" i="24" s="1"/>
  <c r="DV15" i="24" a="1"/>
  <c r="DV15" i="24" s="1"/>
  <c r="DU15" i="24" a="1"/>
  <c r="DU15" i="24" s="1"/>
  <c r="DT15" i="24" a="1"/>
  <c r="DT15" i="24" s="1"/>
  <c r="DS15" i="24" a="1"/>
  <c r="DS15" i="24" s="1"/>
  <c r="DR15" i="24" a="1"/>
  <c r="DR15" i="24" s="1"/>
  <c r="DQ15" i="24" a="1"/>
  <c r="DQ15" i="24" s="1"/>
  <c r="DP15" i="24" a="1"/>
  <c r="DP15" i="24" s="1"/>
  <c r="DO15" i="24" a="1"/>
  <c r="DO15" i="24" s="1"/>
  <c r="DN15" i="24" a="1"/>
  <c r="DN15" i="24" s="1"/>
  <c r="DM15" i="24" a="1"/>
  <c r="DM15" i="24" s="1"/>
  <c r="DL15" i="24" a="1"/>
  <c r="DL15" i="24" s="1"/>
  <c r="DK15" i="24" a="1"/>
  <c r="DK15" i="24" s="1"/>
  <c r="DJ15" i="24" a="1"/>
  <c r="DJ15" i="24" s="1"/>
  <c r="DI15" i="24" a="1"/>
  <c r="DI15" i="24" s="1"/>
  <c r="DH15" i="24" a="1"/>
  <c r="DH15" i="24" s="1"/>
  <c r="DG15" i="24" a="1"/>
  <c r="DG15" i="24" s="1"/>
  <c r="DF15" i="24" a="1"/>
  <c r="DF15" i="24" s="1"/>
  <c r="DE15" i="24" a="1"/>
  <c r="DE15" i="24" s="1"/>
  <c r="DD15" i="24" a="1"/>
  <c r="DD15" i="24" s="1"/>
  <c r="DC15" i="24" a="1"/>
  <c r="DC15" i="24" s="1"/>
  <c r="DB15" i="24" a="1"/>
  <c r="DB15" i="24" s="1"/>
  <c r="DA15" i="24" a="1"/>
  <c r="DA15" i="24" s="1"/>
  <c r="CZ15" i="24" a="1"/>
  <c r="CZ15" i="24" s="1"/>
  <c r="CY15" i="24" a="1"/>
  <c r="CY15" i="24" s="1"/>
  <c r="CX15" i="24" a="1"/>
  <c r="CX15" i="24" s="1"/>
  <c r="CW15" i="24" a="1"/>
  <c r="CW15" i="24" s="1"/>
  <c r="CV15" i="24" a="1"/>
  <c r="CV15" i="24" s="1"/>
  <c r="CU15" i="24" a="1"/>
  <c r="CU15" i="24" s="1"/>
  <c r="CT15" i="24" a="1"/>
  <c r="CT15" i="24" s="1"/>
  <c r="CS15" i="24" a="1"/>
  <c r="CS15" i="24" s="1"/>
  <c r="CR15" i="24" a="1"/>
  <c r="CR15" i="24" s="1"/>
  <c r="CQ15" i="24" a="1"/>
  <c r="CQ15" i="24" s="1"/>
  <c r="CP15" i="24" a="1"/>
  <c r="CP15" i="24" s="1"/>
  <c r="CO15" i="24" a="1"/>
  <c r="CO15" i="24" s="1"/>
  <c r="CN15" i="24" a="1"/>
  <c r="CN15" i="24" s="1"/>
  <c r="CM15" i="24" a="1"/>
  <c r="CM15" i="24" s="1"/>
  <c r="CL15" i="24" a="1"/>
  <c r="CL15" i="24" s="1"/>
  <c r="CK15" i="24" a="1"/>
  <c r="CK15" i="24" s="1"/>
  <c r="CJ15" i="24" a="1"/>
  <c r="CJ15" i="24" s="1"/>
  <c r="CI15" i="24" a="1"/>
  <c r="CI15" i="24" s="1"/>
  <c r="CH15" i="24" a="1"/>
  <c r="CH15" i="24" s="1"/>
  <c r="CG15" i="24" a="1"/>
  <c r="CG15" i="24" s="1"/>
  <c r="CF15" i="24" a="1"/>
  <c r="CF15" i="24" s="1"/>
  <c r="CE15" i="24" a="1"/>
  <c r="CE15" i="24" s="1"/>
  <c r="CD15" i="24" a="1"/>
  <c r="CD15" i="24" s="1"/>
  <c r="CC15" i="24" a="1"/>
  <c r="CC15" i="24" s="1"/>
  <c r="CB15" i="24" a="1"/>
  <c r="CB15" i="24" s="1"/>
  <c r="CA15" i="24" a="1"/>
  <c r="CA15" i="24" s="1"/>
  <c r="BZ15" i="24" a="1"/>
  <c r="BZ15" i="24" s="1"/>
  <c r="BY15" i="24" a="1"/>
  <c r="BY15" i="24" s="1"/>
  <c r="BX15" i="24" a="1"/>
  <c r="BX15" i="24" s="1"/>
  <c r="BW15" i="24" a="1"/>
  <c r="BW15" i="24" s="1"/>
  <c r="BV15" i="24" a="1"/>
  <c r="BV15" i="24" s="1"/>
  <c r="BU15" i="24" a="1"/>
  <c r="BU15" i="24" s="1"/>
  <c r="BT15" i="24" a="1"/>
  <c r="BT15" i="24" s="1"/>
  <c r="BS15" i="24" a="1"/>
  <c r="BS15" i="24" s="1"/>
  <c r="BR15" i="24" a="1"/>
  <c r="BR15" i="24" s="1"/>
  <c r="BQ15" i="24" a="1"/>
  <c r="BQ15" i="24" s="1"/>
  <c r="BP15" i="24" a="1"/>
  <c r="BP15" i="24" s="1"/>
  <c r="BO15" i="24" a="1"/>
  <c r="BO15" i="24" s="1"/>
  <c r="BN15" i="24" a="1"/>
  <c r="BN15" i="24" s="1"/>
  <c r="BM15" i="24" a="1"/>
  <c r="BM15" i="24" s="1"/>
  <c r="BL15" i="24" a="1"/>
  <c r="BL15" i="24" s="1"/>
  <c r="BK15" i="24" a="1"/>
  <c r="BK15" i="24" s="1"/>
  <c r="BJ15" i="24" a="1"/>
  <c r="BJ15" i="24" s="1"/>
  <c r="BI15" i="24" a="1"/>
  <c r="BI15" i="24" s="1"/>
  <c r="BH15" i="24" a="1"/>
  <c r="BH15" i="24" s="1"/>
  <c r="BG15" i="24" a="1"/>
  <c r="BG15" i="24" s="1"/>
  <c r="BF15" i="24" a="1"/>
  <c r="BF15" i="24" s="1"/>
  <c r="BE15" i="24" a="1"/>
  <c r="BE15" i="24" s="1"/>
  <c r="BD15" i="24" a="1"/>
  <c r="BD15" i="24" s="1"/>
  <c r="BC15" i="24" a="1"/>
  <c r="BC15" i="24" s="1"/>
  <c r="BB15" i="24" a="1"/>
  <c r="BB15" i="24" s="1"/>
  <c r="BA15" i="24" a="1"/>
  <c r="BA15" i="24" s="1"/>
  <c r="AZ15" i="24" a="1"/>
  <c r="AZ15" i="24" s="1"/>
  <c r="AY15" i="24" a="1"/>
  <c r="AY15" i="24" s="1"/>
  <c r="AX15" i="24" a="1"/>
  <c r="AX15" i="24" s="1"/>
  <c r="AW15" i="24" a="1"/>
  <c r="AW15" i="24" s="1"/>
  <c r="AV15" i="24" a="1"/>
  <c r="AV15" i="24" s="1"/>
  <c r="AU15" i="24" a="1"/>
  <c r="AU15" i="24" s="1"/>
  <c r="AT15" i="24" a="1"/>
  <c r="AT15" i="24" s="1"/>
  <c r="AS15" i="24" a="1"/>
  <c r="AS15" i="24" s="1"/>
  <c r="AR15" i="24" a="1"/>
  <c r="AR15" i="24" s="1"/>
  <c r="AQ15" i="24" a="1"/>
  <c r="AQ15" i="24" s="1"/>
  <c r="AP15" i="24" a="1"/>
  <c r="AP15" i="24" s="1"/>
  <c r="AO15" i="24" a="1"/>
  <c r="AO15" i="24" s="1"/>
  <c r="AN15" i="24" a="1"/>
  <c r="AN15" i="24" s="1"/>
  <c r="AM15" i="24" a="1"/>
  <c r="AM15" i="24" s="1"/>
  <c r="AL15" i="24" a="1"/>
  <c r="AL15" i="24" s="1"/>
  <c r="AK15" i="24" a="1"/>
  <c r="AK15" i="24" s="1"/>
  <c r="AJ15" i="24" a="1"/>
  <c r="AJ15" i="24" s="1"/>
  <c r="AI15" i="24" a="1"/>
  <c r="AI15" i="24" s="1"/>
  <c r="AH15" i="24" a="1"/>
  <c r="AH15" i="24" s="1"/>
  <c r="AG15" i="24" a="1"/>
  <c r="AG15" i="24" s="1"/>
  <c r="AF15" i="24" a="1"/>
  <c r="AF15" i="24" s="1"/>
  <c r="AE15" i="24" a="1"/>
  <c r="AE15" i="24" s="1"/>
  <c r="AD13" i="24"/>
  <c r="AD12" i="24"/>
  <c r="D12" i="24"/>
  <c r="AD11" i="24"/>
  <c r="D11" i="24" a="1"/>
  <c r="D11" i="24" s="1"/>
  <c r="D10" i="24" a="1"/>
  <c r="D10" i="24" s="1"/>
  <c r="AD9" i="24"/>
  <c r="AD8" i="24"/>
  <c r="AD7" i="24"/>
  <c r="AD6" i="24"/>
  <c r="AD5" i="24"/>
  <c r="AD4" i="24"/>
  <c r="J66" i="23"/>
  <c r="V126" i="23"/>
  <c r="U126" i="23"/>
  <c r="T126" i="23"/>
  <c r="S126" i="23"/>
  <c r="R126" i="23"/>
  <c r="Q126" i="23"/>
  <c r="P126" i="23"/>
  <c r="V123" i="23"/>
  <c r="U123" i="23"/>
  <c r="T123" i="23"/>
  <c r="S123" i="23"/>
  <c r="R123" i="23"/>
  <c r="Q123" i="23"/>
  <c r="P123" i="23"/>
  <c r="V116" i="23"/>
  <c r="V115" i="23" s="1"/>
  <c r="U116" i="23"/>
  <c r="T116" i="23"/>
  <c r="T115" i="23" s="1"/>
  <c r="S116" i="23"/>
  <c r="R116" i="23"/>
  <c r="Q116" i="23"/>
  <c r="Q115" i="23" s="1"/>
  <c r="P116" i="23"/>
  <c r="P115" i="23" s="1"/>
  <c r="V108" i="23"/>
  <c r="V107" i="23" s="1"/>
  <c r="U108" i="23"/>
  <c r="T108" i="23"/>
  <c r="T107" i="23" s="1"/>
  <c r="S108" i="23"/>
  <c r="R108" i="23"/>
  <c r="R107" i="23" s="1"/>
  <c r="Q108" i="23"/>
  <c r="Q107" i="23" s="1"/>
  <c r="P108" i="23"/>
  <c r="P107" i="23" s="1"/>
  <c r="V103" i="23"/>
  <c r="U103" i="23"/>
  <c r="T103" i="23"/>
  <c r="S103" i="23"/>
  <c r="R103" i="23"/>
  <c r="Q103" i="23"/>
  <c r="P103" i="23"/>
  <c r="V100" i="23"/>
  <c r="U100" i="23"/>
  <c r="T100" i="23"/>
  <c r="T99" i="23" s="1"/>
  <c r="S100" i="23"/>
  <c r="S99" i="23" s="1"/>
  <c r="R100" i="23"/>
  <c r="R99" i="23" s="1"/>
  <c r="Q100" i="23"/>
  <c r="P100" i="23"/>
  <c r="V94" i="23"/>
  <c r="V93" i="23" s="1"/>
  <c r="U94" i="23"/>
  <c r="U93" i="23" s="1"/>
  <c r="T94" i="23"/>
  <c r="S94" i="23"/>
  <c r="S93" i="23" s="1"/>
  <c r="R94" i="23"/>
  <c r="R93" i="23" s="1"/>
  <c r="Q94" i="23"/>
  <c r="Q93" i="23" s="1"/>
  <c r="P94" i="23"/>
  <c r="P93" i="23" s="1"/>
  <c r="V88" i="23"/>
  <c r="U88" i="23"/>
  <c r="T88" i="23"/>
  <c r="S88" i="23"/>
  <c r="R88" i="23"/>
  <c r="Q88" i="23"/>
  <c r="P88" i="23"/>
  <c r="V84" i="23"/>
  <c r="U84" i="23"/>
  <c r="T84" i="23"/>
  <c r="S84" i="23"/>
  <c r="R84" i="23"/>
  <c r="Q84" i="23"/>
  <c r="P84" i="23"/>
  <c r="V77" i="23"/>
  <c r="U77" i="23"/>
  <c r="T77" i="23"/>
  <c r="S77" i="23"/>
  <c r="R77" i="23"/>
  <c r="Q77" i="23"/>
  <c r="P77" i="23"/>
  <c r="V73" i="23"/>
  <c r="U73" i="23"/>
  <c r="T73" i="23"/>
  <c r="S73" i="23"/>
  <c r="R73" i="23"/>
  <c r="Q73" i="23"/>
  <c r="P73" i="23"/>
  <c r="V66" i="23"/>
  <c r="U66" i="23"/>
  <c r="T66" i="23"/>
  <c r="S66" i="23"/>
  <c r="R66" i="23"/>
  <c r="Q66" i="23"/>
  <c r="P66" i="23"/>
  <c r="V63" i="23"/>
  <c r="U63" i="23"/>
  <c r="T63" i="23"/>
  <c r="S63" i="23"/>
  <c r="R63" i="23"/>
  <c r="Q63" i="23"/>
  <c r="P63" i="23"/>
  <c r="V56" i="23"/>
  <c r="U56" i="23"/>
  <c r="T56" i="23"/>
  <c r="S56" i="23"/>
  <c r="R56" i="23"/>
  <c r="Q56" i="23"/>
  <c r="P56" i="23"/>
  <c r="V51" i="23"/>
  <c r="U51" i="23"/>
  <c r="T51" i="23"/>
  <c r="S51" i="23"/>
  <c r="R51" i="23"/>
  <c r="Q51" i="23"/>
  <c r="P51" i="23"/>
  <c r="V47" i="23"/>
  <c r="U47" i="23"/>
  <c r="T47" i="23"/>
  <c r="S47" i="23"/>
  <c r="R47" i="23"/>
  <c r="Q47" i="23"/>
  <c r="P47" i="23"/>
  <c r="V40" i="23"/>
  <c r="U40" i="23"/>
  <c r="T40" i="23"/>
  <c r="S40" i="23"/>
  <c r="R40" i="23"/>
  <c r="Q40" i="23"/>
  <c r="P40" i="23"/>
  <c r="V36" i="23"/>
  <c r="U36" i="23"/>
  <c r="T36" i="23"/>
  <c r="S36" i="23"/>
  <c r="R36" i="23"/>
  <c r="Q36" i="23"/>
  <c r="P36" i="23"/>
  <c r="V29" i="23"/>
  <c r="U29" i="23"/>
  <c r="T29" i="23"/>
  <c r="S29" i="23"/>
  <c r="R29" i="23"/>
  <c r="Q29" i="23"/>
  <c r="P29" i="23"/>
  <c r="V26" i="23"/>
  <c r="U26" i="23"/>
  <c r="T26" i="23"/>
  <c r="S26" i="23"/>
  <c r="R26" i="23"/>
  <c r="Q26" i="23"/>
  <c r="P26" i="23"/>
  <c r="V19" i="23"/>
  <c r="U19" i="23"/>
  <c r="T19" i="23"/>
  <c r="S19" i="23"/>
  <c r="R19" i="23"/>
  <c r="Q19" i="23"/>
  <c r="P19" i="23"/>
  <c r="U115" i="23"/>
  <c r="S115" i="23"/>
  <c r="R115" i="23"/>
  <c r="U107" i="23"/>
  <c r="S107" i="23"/>
  <c r="Y128" i="23"/>
  <c r="Y125" i="23"/>
  <c r="Y120" i="23"/>
  <c r="Y119" i="23"/>
  <c r="Y118" i="23"/>
  <c r="Y114" i="23"/>
  <c r="Y113" i="23"/>
  <c r="Y112" i="23"/>
  <c r="Y111" i="23"/>
  <c r="Y110" i="23"/>
  <c r="Y105" i="23"/>
  <c r="Y102" i="23"/>
  <c r="Y96" i="23"/>
  <c r="Y90" i="23"/>
  <c r="Y86" i="23"/>
  <c r="Y75" i="23"/>
  <c r="Y53" i="23"/>
  <c r="Y49" i="23"/>
  <c r="Y38" i="23"/>
  <c r="EB15" i="23" a="1"/>
  <c r="EB15" i="23" s="1"/>
  <c r="EA15" i="23" a="1"/>
  <c r="EA15" i="23" s="1"/>
  <c r="DZ15" i="23" a="1"/>
  <c r="DZ15" i="23" s="1"/>
  <c r="DY15" i="23" a="1"/>
  <c r="DY15" i="23" s="1"/>
  <c r="DX15" i="23" a="1"/>
  <c r="DX15" i="23" s="1"/>
  <c r="DW15" i="23" a="1"/>
  <c r="DW15" i="23" s="1"/>
  <c r="DV15" i="23" a="1"/>
  <c r="DV15" i="23" s="1"/>
  <c r="DU15" i="23" a="1"/>
  <c r="DU15" i="23" s="1"/>
  <c r="DT15" i="23" a="1"/>
  <c r="DT15" i="23" s="1"/>
  <c r="DS15" i="23" a="1"/>
  <c r="DS15" i="23" s="1"/>
  <c r="DR15" i="23" a="1"/>
  <c r="DR15" i="23" s="1"/>
  <c r="DQ15" i="23" a="1"/>
  <c r="DQ15" i="23" s="1"/>
  <c r="DP15" i="23" a="1"/>
  <c r="DP15" i="23" s="1"/>
  <c r="DO15" i="23" a="1"/>
  <c r="DO15" i="23" s="1"/>
  <c r="DN15" i="23" a="1"/>
  <c r="DN15" i="23" s="1"/>
  <c r="DM15" i="23" a="1"/>
  <c r="DM15" i="23" s="1"/>
  <c r="DL15" i="23" a="1"/>
  <c r="DL15" i="23" s="1"/>
  <c r="DK15" i="23" a="1"/>
  <c r="DK15" i="23" s="1"/>
  <c r="DJ15" i="23" a="1"/>
  <c r="DJ15" i="23" s="1"/>
  <c r="DI15" i="23" a="1"/>
  <c r="DI15" i="23" s="1"/>
  <c r="DH15" i="23" a="1"/>
  <c r="DH15" i="23" s="1"/>
  <c r="DG15" i="23" a="1"/>
  <c r="DG15" i="23" s="1"/>
  <c r="DF15" i="23" a="1"/>
  <c r="DF15" i="23" s="1"/>
  <c r="DE15" i="23" a="1"/>
  <c r="DE15" i="23" s="1"/>
  <c r="DD15" i="23" a="1"/>
  <c r="DD15" i="23" s="1"/>
  <c r="DC15" i="23" a="1"/>
  <c r="DC15" i="23" s="1"/>
  <c r="DB15" i="23" a="1"/>
  <c r="DB15" i="23" s="1"/>
  <c r="DA15" i="23" a="1"/>
  <c r="DA15" i="23" s="1"/>
  <c r="CZ15" i="23" a="1"/>
  <c r="CZ15" i="23" s="1"/>
  <c r="CY15" i="23" a="1"/>
  <c r="CY15" i="23" s="1"/>
  <c r="CX15" i="23" a="1"/>
  <c r="CX15" i="23" s="1"/>
  <c r="CW15" i="23" a="1"/>
  <c r="CW15" i="23" s="1"/>
  <c r="CV15" i="23" a="1"/>
  <c r="CV15" i="23" s="1"/>
  <c r="CU15" i="23" a="1"/>
  <c r="CU15" i="23" s="1"/>
  <c r="CT15" i="23" a="1"/>
  <c r="CT15" i="23" s="1"/>
  <c r="CS15" i="23" a="1"/>
  <c r="CS15" i="23" s="1"/>
  <c r="CR15" i="23" a="1"/>
  <c r="CR15" i="23" s="1"/>
  <c r="CQ15" i="23" a="1"/>
  <c r="CQ15" i="23" s="1"/>
  <c r="CP15" i="23" a="1"/>
  <c r="CP15" i="23" s="1"/>
  <c r="CO15" i="23" a="1"/>
  <c r="CO15" i="23" s="1"/>
  <c r="CN15" i="23" a="1"/>
  <c r="CN15" i="23" s="1"/>
  <c r="CM15" i="23" a="1"/>
  <c r="CM15" i="23" s="1"/>
  <c r="CL15" i="23" a="1"/>
  <c r="CL15" i="23" s="1"/>
  <c r="CK15" i="23" a="1"/>
  <c r="CK15" i="23" s="1"/>
  <c r="CJ15" i="23" a="1"/>
  <c r="CJ15" i="23" s="1"/>
  <c r="CI15" i="23" a="1"/>
  <c r="CI15" i="23" s="1"/>
  <c r="CH15" i="23" a="1"/>
  <c r="CH15" i="23" s="1"/>
  <c r="CG15" i="23" a="1"/>
  <c r="CG15" i="23" s="1"/>
  <c r="CF15" i="23" a="1"/>
  <c r="CF15" i="23" s="1"/>
  <c r="CE15" i="23" a="1"/>
  <c r="CE15" i="23" s="1"/>
  <c r="CD15" i="23" a="1"/>
  <c r="CD15" i="23" s="1"/>
  <c r="CC15" i="23" a="1"/>
  <c r="CC15" i="23" s="1"/>
  <c r="CB15" i="23" a="1"/>
  <c r="CB15" i="23" s="1"/>
  <c r="CA15" i="23" a="1"/>
  <c r="CA15" i="23" s="1"/>
  <c r="BZ15" i="23" a="1"/>
  <c r="BZ15" i="23" s="1"/>
  <c r="BY15" i="23" a="1"/>
  <c r="BY15" i="23" s="1"/>
  <c r="BX15" i="23" a="1"/>
  <c r="BX15" i="23" s="1"/>
  <c r="BW15" i="23" a="1"/>
  <c r="BW15" i="23" s="1"/>
  <c r="BV15" i="23" a="1"/>
  <c r="BV15" i="23" s="1"/>
  <c r="BU15" i="23" a="1"/>
  <c r="BU15" i="23" s="1"/>
  <c r="BT15" i="23" a="1"/>
  <c r="BT15" i="23" s="1"/>
  <c r="BS15" i="23" a="1"/>
  <c r="BS15" i="23" s="1"/>
  <c r="BR15" i="23" a="1"/>
  <c r="BR15" i="23" s="1"/>
  <c r="BQ15" i="23" a="1"/>
  <c r="BQ15" i="23" s="1"/>
  <c r="BP15" i="23" a="1"/>
  <c r="BP15" i="23" s="1"/>
  <c r="BO15" i="23" a="1"/>
  <c r="BO15" i="23" s="1"/>
  <c r="BN15" i="23" a="1"/>
  <c r="BN15" i="23" s="1"/>
  <c r="BM15" i="23" a="1"/>
  <c r="BM15" i="23" s="1"/>
  <c r="BL15" i="23" a="1"/>
  <c r="BL15" i="23" s="1"/>
  <c r="BK15" i="23" a="1"/>
  <c r="BK15" i="23" s="1"/>
  <c r="BJ15" i="23" a="1"/>
  <c r="BJ15" i="23" s="1"/>
  <c r="BI15" i="23" a="1"/>
  <c r="BI15" i="23" s="1"/>
  <c r="BH15" i="23" a="1"/>
  <c r="BH15" i="23" s="1"/>
  <c r="BG15" i="23" a="1"/>
  <c r="BG15" i="23" s="1"/>
  <c r="BF15" i="23" a="1"/>
  <c r="BF15" i="23" s="1"/>
  <c r="BE15" i="23" a="1"/>
  <c r="BE15" i="23" s="1"/>
  <c r="BD15" i="23" a="1"/>
  <c r="BD15" i="23" s="1"/>
  <c r="BC15" i="23" a="1"/>
  <c r="BC15" i="23" s="1"/>
  <c r="BB15" i="23" a="1"/>
  <c r="BB15" i="23" s="1"/>
  <c r="BA15" i="23" a="1"/>
  <c r="BA15" i="23" s="1"/>
  <c r="AZ15" i="23" a="1"/>
  <c r="AZ15" i="23" s="1"/>
  <c r="AY15" i="23" a="1"/>
  <c r="AY15" i="23" s="1"/>
  <c r="AX15" i="23" a="1"/>
  <c r="AX15" i="23" s="1"/>
  <c r="AW15" i="23" a="1"/>
  <c r="AW15" i="23" s="1"/>
  <c r="AV15" i="23" a="1"/>
  <c r="AV15" i="23" s="1"/>
  <c r="AU15" i="23" a="1"/>
  <c r="AU15" i="23" s="1"/>
  <c r="AT15" i="23" a="1"/>
  <c r="AT15" i="23" s="1"/>
  <c r="AS15" i="23" a="1"/>
  <c r="AS15" i="23" s="1"/>
  <c r="AR15" i="23" a="1"/>
  <c r="AR15" i="23" s="1"/>
  <c r="AQ15" i="23" a="1"/>
  <c r="AQ15" i="23" s="1"/>
  <c r="AP15" i="23" a="1"/>
  <c r="AP15" i="23" s="1"/>
  <c r="AO15" i="23" a="1"/>
  <c r="AO15" i="23" s="1"/>
  <c r="AN15" i="23" a="1"/>
  <c r="AN15" i="23" s="1"/>
  <c r="AM15" i="23" a="1"/>
  <c r="AM15" i="23" s="1"/>
  <c r="AL15" i="23" a="1"/>
  <c r="AL15" i="23" s="1"/>
  <c r="AK15" i="23" a="1"/>
  <c r="AK15" i="23" s="1"/>
  <c r="AJ15" i="23" a="1"/>
  <c r="AJ15" i="23" s="1"/>
  <c r="AI15" i="23" a="1"/>
  <c r="AI15" i="23" s="1"/>
  <c r="AH15" i="23" a="1"/>
  <c r="AH15" i="23" s="1"/>
  <c r="AG15" i="23" a="1"/>
  <c r="AG15" i="23" s="1"/>
  <c r="AF15" i="23" a="1"/>
  <c r="AF15" i="23" s="1"/>
  <c r="EB16" i="23" a="1"/>
  <c r="EB16" i="23" s="1"/>
  <c r="EA16" i="23" a="1"/>
  <c r="EA16" i="23" s="1"/>
  <c r="DZ16" i="23" a="1"/>
  <c r="DZ16" i="23" s="1"/>
  <c r="DY16" i="23" a="1"/>
  <c r="DY16" i="23" s="1"/>
  <c r="DX16" i="23" a="1"/>
  <c r="DX16" i="23" s="1"/>
  <c r="DW16" i="23" a="1"/>
  <c r="DW16" i="23" s="1"/>
  <c r="DV16" i="23" a="1"/>
  <c r="DV16" i="23" s="1"/>
  <c r="DU16" i="23" a="1"/>
  <c r="DU16" i="23" s="1"/>
  <c r="DT16" i="23" a="1"/>
  <c r="DT16" i="23" s="1"/>
  <c r="DS16" i="23" a="1"/>
  <c r="DS16" i="23" s="1"/>
  <c r="DR16" i="23" a="1"/>
  <c r="DR16" i="23" s="1"/>
  <c r="DQ16" i="23" a="1"/>
  <c r="DQ16" i="23" s="1"/>
  <c r="DP16" i="23" a="1"/>
  <c r="DP16" i="23" s="1"/>
  <c r="DO16" i="23" a="1"/>
  <c r="DO16" i="23" s="1"/>
  <c r="DN16" i="23" a="1"/>
  <c r="DN16" i="23" s="1"/>
  <c r="DM16" i="23" a="1"/>
  <c r="DM16" i="23" s="1"/>
  <c r="DL16" i="23" a="1"/>
  <c r="DL16" i="23" s="1"/>
  <c r="DK16" i="23" a="1"/>
  <c r="DK16" i="23" s="1"/>
  <c r="DJ16" i="23" a="1"/>
  <c r="DJ16" i="23" s="1"/>
  <c r="DI16" i="23" a="1"/>
  <c r="DI16" i="23" s="1"/>
  <c r="DH16" i="23" a="1"/>
  <c r="DH16" i="23" s="1"/>
  <c r="DG16" i="23" a="1"/>
  <c r="DG16" i="23" s="1"/>
  <c r="DF16" i="23" a="1"/>
  <c r="DF16" i="23" s="1"/>
  <c r="DE16" i="23" a="1"/>
  <c r="DE16" i="23" s="1"/>
  <c r="DD16" i="23" a="1"/>
  <c r="DD16" i="23" s="1"/>
  <c r="DC16" i="23" a="1"/>
  <c r="DC16" i="23" s="1"/>
  <c r="DB16" i="23" a="1"/>
  <c r="DB16" i="23" s="1"/>
  <c r="DA16" i="23" a="1"/>
  <c r="DA16" i="23" s="1"/>
  <c r="CZ16" i="23" a="1"/>
  <c r="CZ16" i="23" s="1"/>
  <c r="CY16" i="23" a="1"/>
  <c r="CY16" i="23" s="1"/>
  <c r="CX16" i="23" a="1"/>
  <c r="CX16" i="23" s="1"/>
  <c r="CW16" i="23" a="1"/>
  <c r="CW16" i="23" s="1"/>
  <c r="CV16" i="23" a="1"/>
  <c r="CV16" i="23" s="1"/>
  <c r="CU16" i="23" a="1"/>
  <c r="CU16" i="23" s="1"/>
  <c r="CT16" i="23" a="1"/>
  <c r="CT16" i="23" s="1"/>
  <c r="CS16" i="23" a="1"/>
  <c r="CS16" i="23" s="1"/>
  <c r="CR16" i="23" a="1"/>
  <c r="CR16" i="23" s="1"/>
  <c r="CQ16" i="23" a="1"/>
  <c r="CQ16" i="23" s="1"/>
  <c r="CP16" i="23" a="1"/>
  <c r="CP16" i="23" s="1"/>
  <c r="CO16" i="23" a="1"/>
  <c r="CO16" i="23" s="1"/>
  <c r="CN16" i="23" a="1"/>
  <c r="CN16" i="23" s="1"/>
  <c r="CM16" i="23" a="1"/>
  <c r="CM16" i="23" s="1"/>
  <c r="CL16" i="23" a="1"/>
  <c r="CL16" i="23" s="1"/>
  <c r="CK16" i="23" a="1"/>
  <c r="CK16" i="23" s="1"/>
  <c r="CJ16" i="23" a="1"/>
  <c r="CJ16" i="23" s="1"/>
  <c r="CI16" i="23" a="1"/>
  <c r="CI16" i="23" s="1"/>
  <c r="CH16" i="23" a="1"/>
  <c r="CH16" i="23" s="1"/>
  <c r="CG16" i="23" a="1"/>
  <c r="CG16" i="23" s="1"/>
  <c r="CF16" i="23" a="1"/>
  <c r="CF16" i="23" s="1"/>
  <c r="CE16" i="23" a="1"/>
  <c r="CE16" i="23" s="1"/>
  <c r="CD16" i="23" a="1"/>
  <c r="CD16" i="23" s="1"/>
  <c r="CC16" i="23" a="1"/>
  <c r="CC16" i="23" s="1"/>
  <c r="CB16" i="23" a="1"/>
  <c r="CB16" i="23" s="1"/>
  <c r="CA16" i="23" a="1"/>
  <c r="CA16" i="23" s="1"/>
  <c r="BZ16" i="23" a="1"/>
  <c r="BZ16" i="23" s="1"/>
  <c r="BY16" i="23" a="1"/>
  <c r="BY16" i="23" s="1"/>
  <c r="BX16" i="23" a="1"/>
  <c r="BX16" i="23" s="1"/>
  <c r="BW16" i="23" a="1"/>
  <c r="BW16" i="23" s="1"/>
  <c r="BV16" i="23" a="1"/>
  <c r="BV16" i="23" s="1"/>
  <c r="BU16" i="23" a="1"/>
  <c r="BU16" i="23" s="1"/>
  <c r="BT16" i="23" a="1"/>
  <c r="BT16" i="23" s="1"/>
  <c r="BS16" i="23" a="1"/>
  <c r="BS16" i="23" s="1"/>
  <c r="BR16" i="23" a="1"/>
  <c r="BR16" i="23" s="1"/>
  <c r="BQ16" i="23" a="1"/>
  <c r="BQ16" i="23" s="1"/>
  <c r="BP16" i="23" a="1"/>
  <c r="BP16" i="23" s="1"/>
  <c r="BO16" i="23" a="1"/>
  <c r="BO16" i="23" s="1"/>
  <c r="BN16" i="23" a="1"/>
  <c r="BN16" i="23" s="1"/>
  <c r="BM16" i="23" a="1"/>
  <c r="BM16" i="23" s="1"/>
  <c r="BL16" i="23" a="1"/>
  <c r="BL16" i="23" s="1"/>
  <c r="BK16" i="23" a="1"/>
  <c r="BK16" i="23" s="1"/>
  <c r="BJ16" i="23" a="1"/>
  <c r="BJ16" i="23" s="1"/>
  <c r="BI16" i="23" a="1"/>
  <c r="BI16" i="23" s="1"/>
  <c r="BH16" i="23" a="1"/>
  <c r="BH16" i="23" s="1"/>
  <c r="BG16" i="23" a="1"/>
  <c r="BG16" i="23" s="1"/>
  <c r="BF16" i="23" a="1"/>
  <c r="BF16" i="23" s="1"/>
  <c r="BE16" i="23" a="1"/>
  <c r="BE16" i="23" s="1"/>
  <c r="BD16" i="23" a="1"/>
  <c r="BD16" i="23" s="1"/>
  <c r="BC16" i="23" a="1"/>
  <c r="BC16" i="23" s="1"/>
  <c r="BB16" i="23" a="1"/>
  <c r="BB16" i="23" s="1"/>
  <c r="BA16" i="23" a="1"/>
  <c r="BA16" i="23" s="1"/>
  <c r="AZ16" i="23" a="1"/>
  <c r="AZ16" i="23" s="1"/>
  <c r="AY16" i="23" a="1"/>
  <c r="AY16" i="23" s="1"/>
  <c r="AX16" i="23" a="1"/>
  <c r="AX16" i="23" s="1"/>
  <c r="AW16" i="23" a="1"/>
  <c r="AW16" i="23" s="1"/>
  <c r="AV16" i="23" a="1"/>
  <c r="AV16" i="23" s="1"/>
  <c r="AU16" i="23" a="1"/>
  <c r="AU16" i="23" s="1"/>
  <c r="AT16" i="23" a="1"/>
  <c r="AT16" i="23" s="1"/>
  <c r="AS16" i="23" a="1"/>
  <c r="AS16" i="23" s="1"/>
  <c r="AR16" i="23" a="1"/>
  <c r="AR16" i="23" s="1"/>
  <c r="AQ16" i="23" a="1"/>
  <c r="AQ16" i="23" s="1"/>
  <c r="AP16" i="23" a="1"/>
  <c r="AP16" i="23" s="1"/>
  <c r="AO16" i="23" a="1"/>
  <c r="AO16" i="23" s="1"/>
  <c r="AN16" i="23" a="1"/>
  <c r="AN16" i="23" s="1"/>
  <c r="AM16" i="23" a="1"/>
  <c r="AM16" i="23" s="1"/>
  <c r="AL16" i="23" a="1"/>
  <c r="AL16" i="23" s="1"/>
  <c r="AK16" i="23" a="1"/>
  <c r="AK16" i="23" s="1"/>
  <c r="AJ16" i="23" a="1"/>
  <c r="AJ16" i="23" s="1"/>
  <c r="AI16" i="23" a="1"/>
  <c r="AI16" i="23" s="1"/>
  <c r="AH16" i="23" a="1"/>
  <c r="AH16" i="23" s="1"/>
  <c r="AG16" i="23" a="1"/>
  <c r="AG16" i="23" s="1"/>
  <c r="AF16" i="23" a="1"/>
  <c r="AF16" i="23" s="1"/>
  <c r="K126" i="23"/>
  <c r="K123" i="23"/>
  <c r="K116" i="23"/>
  <c r="K115" i="23" s="1"/>
  <c r="K108" i="23"/>
  <c r="K107" i="23" s="1"/>
  <c r="K103" i="23"/>
  <c r="K100" i="23"/>
  <c r="K94" i="23"/>
  <c r="K93" i="23" s="1"/>
  <c r="K92" i="23" s="1"/>
  <c r="K88" i="23"/>
  <c r="K84" i="23"/>
  <c r="K77" i="23"/>
  <c r="K73" i="23"/>
  <c r="K66" i="23"/>
  <c r="K63" i="23"/>
  <c r="K56" i="23"/>
  <c r="K51" i="23"/>
  <c r="K47" i="23"/>
  <c r="K40" i="23"/>
  <c r="K36" i="23"/>
  <c r="K29" i="23"/>
  <c r="K26" i="23"/>
  <c r="K19" i="23"/>
  <c r="L126" i="23"/>
  <c r="J126" i="23"/>
  <c r="I126" i="23"/>
  <c r="L123" i="23"/>
  <c r="J123" i="23"/>
  <c r="I123" i="23"/>
  <c r="L116" i="23"/>
  <c r="L115" i="23" s="1"/>
  <c r="J116" i="23"/>
  <c r="J115" i="23" s="1"/>
  <c r="I116" i="23"/>
  <c r="I115" i="23" s="1"/>
  <c r="L108" i="23"/>
  <c r="L107" i="23" s="1"/>
  <c r="J108" i="23"/>
  <c r="J107" i="23" s="1"/>
  <c r="I108" i="23"/>
  <c r="I107" i="23" s="1"/>
  <c r="L103" i="23"/>
  <c r="J103" i="23"/>
  <c r="I103" i="23"/>
  <c r="L100" i="23"/>
  <c r="J100" i="23"/>
  <c r="I100" i="23"/>
  <c r="L94" i="23"/>
  <c r="L93" i="23" s="1"/>
  <c r="L92" i="23" s="1"/>
  <c r="J94" i="23"/>
  <c r="J93" i="23" s="1"/>
  <c r="J92" i="23" s="1"/>
  <c r="I94" i="23"/>
  <c r="I93" i="23" s="1"/>
  <c r="I92" i="23" s="1"/>
  <c r="L88" i="23"/>
  <c r="J88" i="23"/>
  <c r="I88" i="23"/>
  <c r="L84" i="23"/>
  <c r="J84" i="23"/>
  <c r="I84" i="23"/>
  <c r="L77" i="23"/>
  <c r="J77" i="23"/>
  <c r="I77" i="23"/>
  <c r="L73" i="23"/>
  <c r="J73" i="23"/>
  <c r="I73" i="23"/>
  <c r="L66" i="23"/>
  <c r="I66" i="23"/>
  <c r="L63" i="23"/>
  <c r="J63" i="23"/>
  <c r="I63" i="23"/>
  <c r="L56" i="23"/>
  <c r="J56" i="23"/>
  <c r="I56" i="23"/>
  <c r="L51" i="23"/>
  <c r="J51" i="23"/>
  <c r="I51" i="23"/>
  <c r="L47" i="23"/>
  <c r="J47" i="23"/>
  <c r="I47" i="23"/>
  <c r="L40" i="23"/>
  <c r="J40" i="23"/>
  <c r="I40" i="23"/>
  <c r="L36" i="23"/>
  <c r="J36" i="23"/>
  <c r="I36" i="23"/>
  <c r="L29" i="23"/>
  <c r="J29" i="23"/>
  <c r="I29" i="23"/>
  <c r="L26" i="23"/>
  <c r="J26" i="23"/>
  <c r="I26" i="23"/>
  <c r="L19" i="23"/>
  <c r="J19" i="23"/>
  <c r="I19" i="23"/>
  <c r="AD119" i="23"/>
  <c r="AD118" i="23"/>
  <c r="AD113" i="23"/>
  <c r="AD112" i="23"/>
  <c r="AD111" i="23"/>
  <c r="AD110" i="23"/>
  <c r="AD128" i="23"/>
  <c r="AD127" i="23"/>
  <c r="AA127" i="23"/>
  <c r="Y127" i="23"/>
  <c r="AC126" i="23"/>
  <c r="AD126" i="23" s="1"/>
  <c r="AB126" i="23"/>
  <c r="Z126" i="23"/>
  <c r="W126" i="23"/>
  <c r="O126" i="23"/>
  <c r="N126" i="23"/>
  <c r="M126" i="23"/>
  <c r="AD125" i="23"/>
  <c r="AD124" i="23"/>
  <c r="AA124" i="23"/>
  <c r="Y124" i="23"/>
  <c r="AC123" i="23"/>
  <c r="AD123" i="23" s="1"/>
  <c r="AB123" i="23"/>
  <c r="Z123" i="23"/>
  <c r="W123" i="23"/>
  <c r="O123" i="23"/>
  <c r="N123" i="23"/>
  <c r="M123" i="23"/>
  <c r="AD120" i="23"/>
  <c r="AD117" i="23"/>
  <c r="AB116" i="23"/>
  <c r="AB115" i="23" s="1"/>
  <c r="Y117" i="23"/>
  <c r="AC116" i="23"/>
  <c r="AC115" i="23" s="1"/>
  <c r="AD115" i="23" s="1"/>
  <c r="Z116" i="23"/>
  <c r="W116" i="23"/>
  <c r="O116" i="23"/>
  <c r="O115" i="23" s="1"/>
  <c r="N116" i="23"/>
  <c r="N115" i="23" s="1"/>
  <c r="M116" i="23"/>
  <c r="M115" i="23" s="1"/>
  <c r="AD114" i="23"/>
  <c r="AD109" i="23"/>
  <c r="AB108" i="23"/>
  <c r="AB107" i="23" s="1"/>
  <c r="AA109" i="23"/>
  <c r="Y109" i="23"/>
  <c r="AC108" i="23"/>
  <c r="AC107" i="23" s="1"/>
  <c r="Z108" i="23"/>
  <c r="W108" i="23"/>
  <c r="O108" i="23"/>
  <c r="O107" i="23" s="1"/>
  <c r="N108" i="23"/>
  <c r="N107" i="23" s="1"/>
  <c r="M108" i="23"/>
  <c r="M107" i="23" s="1"/>
  <c r="AD106" i="23"/>
  <c r="AA106" i="23"/>
  <c r="Y106" i="23"/>
  <c r="AD105" i="23"/>
  <c r="AD104" i="23"/>
  <c r="AB103" i="23"/>
  <c r="Y104" i="23"/>
  <c r="AC103" i="23"/>
  <c r="AD103" i="23" s="1"/>
  <c r="Z103" i="23"/>
  <c r="W103" i="23"/>
  <c r="U99" i="23"/>
  <c r="O103" i="23"/>
  <c r="N103" i="23"/>
  <c r="M103" i="23"/>
  <c r="AD102" i="23"/>
  <c r="AD101" i="23"/>
  <c r="AA101" i="23"/>
  <c r="Y101" i="23"/>
  <c r="AC100" i="23"/>
  <c r="AD100" i="23" s="1"/>
  <c r="Z100" i="23"/>
  <c r="W100" i="23"/>
  <c r="O100" i="23"/>
  <c r="N100" i="23"/>
  <c r="M100" i="23"/>
  <c r="O94" i="23"/>
  <c r="O93" i="23" s="1"/>
  <c r="O92" i="23" s="1"/>
  <c r="N94" i="23"/>
  <c r="N93" i="23" s="1"/>
  <c r="N92" i="23" s="1"/>
  <c r="O88" i="23"/>
  <c r="N88" i="23"/>
  <c r="M88" i="23"/>
  <c r="O84" i="23"/>
  <c r="N84" i="23"/>
  <c r="M84" i="23"/>
  <c r="O77" i="23"/>
  <c r="N77" i="23"/>
  <c r="M77" i="23"/>
  <c r="O73" i="23"/>
  <c r="N73" i="23"/>
  <c r="M73" i="23"/>
  <c r="O66" i="23"/>
  <c r="N66" i="23"/>
  <c r="M66" i="23"/>
  <c r="O63" i="23"/>
  <c r="N63" i="23"/>
  <c r="M63" i="23"/>
  <c r="O56" i="23"/>
  <c r="N56" i="23"/>
  <c r="M56" i="23"/>
  <c r="O51" i="23"/>
  <c r="N51" i="23"/>
  <c r="M51" i="23"/>
  <c r="O47" i="23"/>
  <c r="N47" i="23"/>
  <c r="M47" i="23"/>
  <c r="O40" i="23"/>
  <c r="N40" i="23"/>
  <c r="M40" i="23"/>
  <c r="O36" i="23"/>
  <c r="N36" i="23"/>
  <c r="M36" i="23"/>
  <c r="O29" i="23"/>
  <c r="N29" i="23"/>
  <c r="M29" i="23"/>
  <c r="O26" i="23"/>
  <c r="N26" i="23"/>
  <c r="M26" i="23"/>
  <c r="O19" i="23"/>
  <c r="N19" i="23"/>
  <c r="M19" i="23"/>
  <c r="M94" i="23"/>
  <c r="M93" i="23" s="1"/>
  <c r="M92" i="23" s="1"/>
  <c r="AD97" i="23"/>
  <c r="AA97" i="23"/>
  <c r="Y97" i="23"/>
  <c r="AD96" i="23"/>
  <c r="AD95" i="23"/>
  <c r="AA95" i="23"/>
  <c r="Y95" i="23"/>
  <c r="AC94" i="23"/>
  <c r="AD94" i="23" s="1"/>
  <c r="Z94" i="23"/>
  <c r="Z93" i="23" s="1"/>
  <c r="W94" i="23"/>
  <c r="T93" i="23"/>
  <c r="AD91" i="23"/>
  <c r="AA91" i="23"/>
  <c r="Y91" i="23"/>
  <c r="AD90" i="23"/>
  <c r="AD89" i="23"/>
  <c r="AA89" i="23"/>
  <c r="Y89" i="23"/>
  <c r="AC88" i="23"/>
  <c r="AD88" i="23" s="1"/>
  <c r="Z88" i="23"/>
  <c r="W88" i="23"/>
  <c r="AD87" i="23"/>
  <c r="AA87" i="23"/>
  <c r="Y87" i="23"/>
  <c r="AD86" i="23"/>
  <c r="AD85" i="23"/>
  <c r="AA85" i="23"/>
  <c r="Y85" i="23"/>
  <c r="AC84" i="23"/>
  <c r="AD84" i="23" s="1"/>
  <c r="Z84" i="23"/>
  <c r="W84" i="23"/>
  <c r="AD83" i="23"/>
  <c r="AA83" i="23"/>
  <c r="Y83" i="23"/>
  <c r="AD82" i="23"/>
  <c r="AA82" i="23"/>
  <c r="Y82" i="23"/>
  <c r="AD81" i="23"/>
  <c r="AA81" i="23"/>
  <c r="Y81" i="23"/>
  <c r="AD80" i="23"/>
  <c r="AA80" i="23"/>
  <c r="Y80" i="23"/>
  <c r="AD79" i="23"/>
  <c r="AA79" i="23"/>
  <c r="Y79" i="23"/>
  <c r="AD78" i="23"/>
  <c r="AB77" i="23"/>
  <c r="AA78" i="23"/>
  <c r="Y78" i="23"/>
  <c r="AC77" i="23"/>
  <c r="Z77" i="23"/>
  <c r="W77" i="23"/>
  <c r="AD76" i="23"/>
  <c r="AA76" i="23"/>
  <c r="Y76" i="23"/>
  <c r="AD75" i="23"/>
  <c r="AD74" i="23"/>
  <c r="AB73" i="23"/>
  <c r="Y74" i="23"/>
  <c r="AC73" i="23"/>
  <c r="AD73" i="23" s="1"/>
  <c r="Z73" i="23"/>
  <c r="W73" i="23"/>
  <c r="AD72" i="23"/>
  <c r="AA72" i="23"/>
  <c r="Y72" i="23"/>
  <c r="AD71" i="23"/>
  <c r="AA71" i="23"/>
  <c r="Y71" i="23"/>
  <c r="AD70" i="23"/>
  <c r="AA70" i="23"/>
  <c r="Y70" i="23"/>
  <c r="AD69" i="23"/>
  <c r="AA69" i="23"/>
  <c r="Y69" i="23"/>
  <c r="AD68" i="23"/>
  <c r="AA68" i="23"/>
  <c r="Y68" i="23"/>
  <c r="AD67" i="23"/>
  <c r="AA67" i="23"/>
  <c r="Y67" i="23"/>
  <c r="AC66" i="23"/>
  <c r="AD66" i="23" s="1"/>
  <c r="Z66" i="23"/>
  <c r="W66" i="23"/>
  <c r="AD65" i="23"/>
  <c r="AA65" i="23"/>
  <c r="Y65" i="23"/>
  <c r="AD64" i="23"/>
  <c r="AB63" i="23"/>
  <c r="Y64" i="23"/>
  <c r="AC63" i="23"/>
  <c r="AD63" i="23" s="1"/>
  <c r="Z63" i="23"/>
  <c r="W63" i="23"/>
  <c r="AD62" i="23"/>
  <c r="AA62" i="23"/>
  <c r="Y62" i="23"/>
  <c r="AD61" i="23"/>
  <c r="AA61" i="23"/>
  <c r="Y61" i="23"/>
  <c r="AD60" i="23"/>
  <c r="AA60" i="23"/>
  <c r="Y60" i="23"/>
  <c r="AD59" i="23"/>
  <c r="AA59" i="23"/>
  <c r="Y59" i="23"/>
  <c r="AD58" i="23"/>
  <c r="AA58" i="23"/>
  <c r="Y58" i="23"/>
  <c r="AD57" i="23"/>
  <c r="AA57" i="23"/>
  <c r="Y57" i="23"/>
  <c r="AC56" i="23"/>
  <c r="AD56" i="23" s="1"/>
  <c r="Z56" i="23"/>
  <c r="W56" i="23"/>
  <c r="AD53" i="23"/>
  <c r="AD49" i="23"/>
  <c r="AD38" i="23"/>
  <c r="AD54" i="23"/>
  <c r="AA54" i="23"/>
  <c r="Y54" i="23"/>
  <c r="AD52" i="23"/>
  <c r="AB51" i="23"/>
  <c r="Y52" i="23"/>
  <c r="AC51" i="23"/>
  <c r="AD51" i="23" s="1"/>
  <c r="Z51" i="23"/>
  <c r="W51" i="23"/>
  <c r="AD50" i="23"/>
  <c r="AA50" i="23"/>
  <c r="Y50" i="23"/>
  <c r="AD48" i="23"/>
  <c r="AB47" i="23"/>
  <c r="AA48" i="23"/>
  <c r="Y48" i="23"/>
  <c r="AC47" i="23"/>
  <c r="AD47" i="23" s="1"/>
  <c r="Z47" i="23"/>
  <c r="W47" i="23"/>
  <c r="AD46" i="23"/>
  <c r="AA46" i="23"/>
  <c r="Y46" i="23"/>
  <c r="AD45" i="23"/>
  <c r="AA45" i="23"/>
  <c r="Y45" i="23"/>
  <c r="AD44" i="23"/>
  <c r="AA44" i="23"/>
  <c r="Y44" i="23"/>
  <c r="AD43" i="23"/>
  <c r="AA43" i="23"/>
  <c r="Y43" i="23"/>
  <c r="AD42" i="23"/>
  <c r="AA42" i="23"/>
  <c r="Y42" i="23"/>
  <c r="AD41" i="23"/>
  <c r="AA41" i="23"/>
  <c r="Y41" i="23"/>
  <c r="AC40" i="23"/>
  <c r="AD40" i="23" s="1"/>
  <c r="Z40" i="23"/>
  <c r="W40" i="23"/>
  <c r="AD39" i="23"/>
  <c r="AA39" i="23"/>
  <c r="Y39" i="23"/>
  <c r="AD37" i="23"/>
  <c r="AB36" i="23"/>
  <c r="Y37" i="23"/>
  <c r="AC36" i="23"/>
  <c r="AD36" i="23" s="1"/>
  <c r="Z36" i="23"/>
  <c r="W36" i="23"/>
  <c r="AD28" i="23"/>
  <c r="AA28" i="23"/>
  <c r="Y28" i="23"/>
  <c r="AD27" i="23"/>
  <c r="AA27" i="23"/>
  <c r="Y27" i="23"/>
  <c r="AC26" i="23"/>
  <c r="AD26" i="23" s="1"/>
  <c r="Z26" i="23"/>
  <c r="W26" i="23"/>
  <c r="AD35" i="23"/>
  <c r="AA35" i="23"/>
  <c r="Y35" i="23"/>
  <c r="AD34" i="23"/>
  <c r="AA34" i="23"/>
  <c r="Y34" i="23"/>
  <c r="AD33" i="23"/>
  <c r="AA33" i="23"/>
  <c r="Y33" i="23"/>
  <c r="AD32" i="23"/>
  <c r="AA32" i="23"/>
  <c r="Y32" i="23"/>
  <c r="AD31" i="23"/>
  <c r="AA31" i="23"/>
  <c r="Y31" i="23"/>
  <c r="AD30" i="23"/>
  <c r="AB29" i="23"/>
  <c r="Y30" i="23"/>
  <c r="AC29" i="23"/>
  <c r="AD29" i="23" s="1"/>
  <c r="Z29" i="23"/>
  <c r="W29" i="23"/>
  <c r="AC19" i="23"/>
  <c r="Z19" i="23"/>
  <c r="W19" i="23"/>
  <c r="AD25" i="23"/>
  <c r="AA25" i="23"/>
  <c r="Y25" i="23"/>
  <c r="AD24" i="23"/>
  <c r="AA24" i="23"/>
  <c r="Y24" i="23"/>
  <c r="AC53" i="24" l="1"/>
  <c r="AB52" i="24"/>
  <c r="AC29" i="24"/>
  <c r="AB18" i="24"/>
  <c r="P122" i="24"/>
  <c r="P121" i="24" s="1"/>
  <c r="H12" i="24"/>
  <c r="P99" i="24"/>
  <c r="P98" i="24" s="1"/>
  <c r="N122" i="24"/>
  <c r="N121" i="24" s="1"/>
  <c r="O99" i="24"/>
  <c r="O98" i="24" s="1"/>
  <c r="P52" i="24"/>
  <c r="Z53" i="24"/>
  <c r="P18" i="24"/>
  <c r="M122" i="24"/>
  <c r="M121" i="24" s="1"/>
  <c r="Q122" i="24"/>
  <c r="Q121" i="24" s="1"/>
  <c r="Z88" i="24"/>
  <c r="K122" i="24"/>
  <c r="K121" i="24" s="1"/>
  <c r="Z115" i="24"/>
  <c r="L122" i="24"/>
  <c r="L121" i="24" s="1"/>
  <c r="T122" i="24"/>
  <c r="T121" i="24" s="1"/>
  <c r="U122" i="24"/>
  <c r="U121" i="24" s="1"/>
  <c r="AB107" i="24"/>
  <c r="AC107" i="24" s="1"/>
  <c r="Z108" i="24"/>
  <c r="X123" i="24"/>
  <c r="W123" i="24" s="1"/>
  <c r="AB86" i="24"/>
  <c r="AC86" i="24" s="1"/>
  <c r="R122" i="24"/>
  <c r="R121" i="24" s="1"/>
  <c r="R18" i="24"/>
  <c r="X69" i="24"/>
  <c r="W69" i="24" s="1"/>
  <c r="N99" i="24"/>
  <c r="N98" i="24" s="1"/>
  <c r="Z103" i="24"/>
  <c r="Z35" i="24"/>
  <c r="X103" i="24"/>
  <c r="W103" i="24" s="1"/>
  <c r="S18" i="24"/>
  <c r="Z123" i="24"/>
  <c r="Q18" i="24"/>
  <c r="S52" i="24"/>
  <c r="X12" i="24"/>
  <c r="J99" i="24"/>
  <c r="J98" i="24" s="1"/>
  <c r="R52" i="24"/>
  <c r="Q99" i="24"/>
  <c r="Q98" i="24" s="1"/>
  <c r="S99" i="24"/>
  <c r="S98" i="24" s="1"/>
  <c r="L99" i="24"/>
  <c r="L98" i="24" s="1"/>
  <c r="U99" i="24"/>
  <c r="U98" i="24" s="1"/>
  <c r="U18" i="24"/>
  <c r="Z45" i="24"/>
  <c r="Z79" i="24"/>
  <c r="AA122" i="24"/>
  <c r="AA121" i="24" s="1"/>
  <c r="T18" i="24"/>
  <c r="Z29" i="24"/>
  <c r="Z63" i="24"/>
  <c r="X100" i="24"/>
  <c r="Y87" i="24"/>
  <c r="X79" i="24"/>
  <c r="W79" i="24" s="1"/>
  <c r="T99" i="24"/>
  <c r="T98" i="24" s="1"/>
  <c r="M99" i="24"/>
  <c r="M98" i="24" s="1"/>
  <c r="J122" i="24"/>
  <c r="J121" i="24" s="1"/>
  <c r="X126" i="24"/>
  <c r="N18" i="24"/>
  <c r="X53" i="24"/>
  <c r="W53" i="24" s="1"/>
  <c r="O18" i="24"/>
  <c r="N52" i="24"/>
  <c r="I99" i="24"/>
  <c r="I98" i="24" s="1"/>
  <c r="AA99" i="24"/>
  <c r="AA98" i="24" s="1"/>
  <c r="O52" i="24"/>
  <c r="Z26" i="24"/>
  <c r="X29" i="24"/>
  <c r="W29" i="24" s="1"/>
  <c r="Z73" i="24"/>
  <c r="V99" i="24"/>
  <c r="X11" i="24"/>
  <c r="I18" i="24"/>
  <c r="AB99" i="24"/>
  <c r="AB98" i="24" s="1"/>
  <c r="AC98" i="24" s="1"/>
  <c r="Y107" i="24"/>
  <c r="Z107" i="24" s="1"/>
  <c r="X45" i="24"/>
  <c r="W45" i="24" s="1"/>
  <c r="Z100" i="24"/>
  <c r="Z39" i="24"/>
  <c r="Z69" i="24"/>
  <c r="AA52" i="24"/>
  <c r="O122" i="24"/>
  <c r="O121" i="24" s="1"/>
  <c r="Z60" i="24"/>
  <c r="X63" i="24"/>
  <c r="W63" i="24" s="1"/>
  <c r="I122" i="24"/>
  <c r="I121" i="24" s="1"/>
  <c r="Y122" i="24"/>
  <c r="Y121" i="24" s="1"/>
  <c r="X108" i="24"/>
  <c r="X107" i="24" s="1"/>
  <c r="X39" i="24"/>
  <c r="W39" i="24" s="1"/>
  <c r="X60" i="24"/>
  <c r="W60" i="24" s="1"/>
  <c r="X116" i="24"/>
  <c r="X115" i="24" s="1"/>
  <c r="W115" i="24" s="1"/>
  <c r="L52" i="24"/>
  <c r="Q52" i="24"/>
  <c r="K99" i="24"/>
  <c r="K98" i="24" s="1"/>
  <c r="M52" i="24"/>
  <c r="X88" i="24"/>
  <c r="W88" i="24" s="1"/>
  <c r="Y99" i="24"/>
  <c r="AA18" i="24"/>
  <c r="AB122" i="24"/>
  <c r="X26" i="24"/>
  <c r="W26" i="24" s="1"/>
  <c r="V18" i="24"/>
  <c r="X35" i="24"/>
  <c r="W35" i="24" s="1"/>
  <c r="H10" i="24"/>
  <c r="X13" i="24"/>
  <c r="X73" i="24"/>
  <c r="W73" i="24" s="1"/>
  <c r="Z116" i="24"/>
  <c r="U52" i="24"/>
  <c r="V122" i="24"/>
  <c r="AC52" i="24"/>
  <c r="V52" i="24"/>
  <c r="Z126" i="24"/>
  <c r="Y18" i="24"/>
  <c r="AC116" i="24"/>
  <c r="S122" i="24"/>
  <c r="S121" i="24" s="1"/>
  <c r="Z19" i="24"/>
  <c r="I52" i="24"/>
  <c r="J18" i="24"/>
  <c r="J52" i="24"/>
  <c r="Y52" i="24"/>
  <c r="T52" i="24"/>
  <c r="R99" i="24"/>
  <c r="R98" i="24" s="1"/>
  <c r="K18" i="24"/>
  <c r="AB17" i="24"/>
  <c r="K52" i="24"/>
  <c r="L18" i="24"/>
  <c r="X19" i="24"/>
  <c r="M18" i="24"/>
  <c r="AC88" i="24"/>
  <c r="R122" i="23"/>
  <c r="R121" i="23" s="1"/>
  <c r="S122" i="23"/>
  <c r="S121" i="23" s="1"/>
  <c r="T122" i="23"/>
  <c r="T121" i="23" s="1"/>
  <c r="U122" i="23"/>
  <c r="U121" i="23" s="1"/>
  <c r="T55" i="23"/>
  <c r="U55" i="23"/>
  <c r="S55" i="23"/>
  <c r="Q99" i="23"/>
  <c r="Q98" i="23" s="1"/>
  <c r="P122" i="23"/>
  <c r="P121" i="23" s="1"/>
  <c r="Q122" i="23"/>
  <c r="Q121" i="23" s="1"/>
  <c r="V122" i="23"/>
  <c r="V121" i="23" s="1"/>
  <c r="R98" i="23"/>
  <c r="P99" i="23"/>
  <c r="P98" i="23" s="1"/>
  <c r="V99" i="23"/>
  <c r="V98" i="23" s="1"/>
  <c r="R55" i="23"/>
  <c r="V55" i="23"/>
  <c r="P55" i="23"/>
  <c r="Q55" i="23"/>
  <c r="S92" i="23"/>
  <c r="T92" i="23"/>
  <c r="U92" i="23"/>
  <c r="V92" i="23"/>
  <c r="S98" i="23"/>
  <c r="U98" i="23"/>
  <c r="T98" i="23"/>
  <c r="P92" i="23"/>
  <c r="Q92" i="23"/>
  <c r="R92" i="23"/>
  <c r="Y126" i="23"/>
  <c r="X126" i="23" s="1"/>
  <c r="K99" i="23"/>
  <c r="K98" i="23" s="1"/>
  <c r="Y123" i="23"/>
  <c r="X123" i="23" s="1"/>
  <c r="Y116" i="23"/>
  <c r="Y115" i="23" s="1"/>
  <c r="Y100" i="23"/>
  <c r="X100" i="23" s="1"/>
  <c r="W99" i="23"/>
  <c r="Y108" i="23"/>
  <c r="Y107" i="23" s="1"/>
  <c r="L99" i="23"/>
  <c r="L98" i="23" s="1"/>
  <c r="J99" i="23"/>
  <c r="J98" i="23" s="1"/>
  <c r="K18" i="23"/>
  <c r="M99" i="23"/>
  <c r="M98" i="23" s="1"/>
  <c r="I99" i="23"/>
  <c r="I98" i="23" s="1"/>
  <c r="N99" i="23"/>
  <c r="N98" i="23" s="1"/>
  <c r="O99" i="23"/>
  <c r="O98" i="23" s="1"/>
  <c r="K122" i="23"/>
  <c r="K121" i="23" s="1"/>
  <c r="K55" i="23"/>
  <c r="I122" i="23"/>
  <c r="I121" i="23" s="1"/>
  <c r="AA126" i="23"/>
  <c r="M122" i="23"/>
  <c r="M121" i="23" s="1"/>
  <c r="N122" i="23"/>
  <c r="N121" i="23" s="1"/>
  <c r="Z99" i="23"/>
  <c r="I55" i="23"/>
  <c r="J55" i="23"/>
  <c r="L55" i="23"/>
  <c r="L18" i="23"/>
  <c r="AA108" i="23"/>
  <c r="J18" i="23"/>
  <c r="J122" i="23"/>
  <c r="J121" i="23" s="1"/>
  <c r="W122" i="23"/>
  <c r="I18" i="23"/>
  <c r="L122" i="23"/>
  <c r="L121" i="23" s="1"/>
  <c r="O122" i="23"/>
  <c r="O121" i="23" s="1"/>
  <c r="AD107" i="23"/>
  <c r="Z122" i="23"/>
  <c r="Z121" i="23" s="1"/>
  <c r="AC99" i="23"/>
  <c r="AB122" i="23"/>
  <c r="AB121" i="23" s="1"/>
  <c r="AA123" i="23"/>
  <c r="AC122" i="23"/>
  <c r="AC121" i="23" s="1"/>
  <c r="AD121" i="23" s="1"/>
  <c r="Y94" i="23"/>
  <c r="Y93" i="23" s="1"/>
  <c r="Y92" i="23" s="1"/>
  <c r="AA116" i="23"/>
  <c r="AA117" i="23"/>
  <c r="W115" i="23"/>
  <c r="Z115" i="23"/>
  <c r="AA115" i="23" s="1"/>
  <c r="AA104" i="23"/>
  <c r="AD116" i="23"/>
  <c r="AB56" i="23"/>
  <c r="AA56" i="23" s="1"/>
  <c r="AC93" i="23"/>
  <c r="AC92" i="23" s="1"/>
  <c r="AB94" i="23"/>
  <c r="AB93" i="23" s="1"/>
  <c r="AB92" i="23" s="1"/>
  <c r="AA103" i="23"/>
  <c r="M18" i="23"/>
  <c r="Y103" i="23"/>
  <c r="X103" i="23" s="1"/>
  <c r="AD108" i="23"/>
  <c r="N55" i="23"/>
  <c r="W107" i="23"/>
  <c r="Z107" i="23"/>
  <c r="AA107" i="23" s="1"/>
  <c r="N18" i="23"/>
  <c r="O18" i="23"/>
  <c r="O55" i="23"/>
  <c r="AB100" i="23"/>
  <c r="AB99" i="23" s="1"/>
  <c r="AB98" i="23" s="1"/>
  <c r="M55" i="23"/>
  <c r="AA52" i="23"/>
  <c r="Y47" i="23"/>
  <c r="X47" i="23" s="1"/>
  <c r="Y51" i="23"/>
  <c r="X51" i="23" s="1"/>
  <c r="Y36" i="23"/>
  <c r="X36" i="23" s="1"/>
  <c r="AA37" i="23"/>
  <c r="AB88" i="23"/>
  <c r="AA88" i="23" s="1"/>
  <c r="AA74" i="23"/>
  <c r="Y88" i="23"/>
  <c r="X88" i="23" s="1"/>
  <c r="W93" i="23"/>
  <c r="AA30" i="23"/>
  <c r="AA63" i="23"/>
  <c r="Y63" i="23"/>
  <c r="X63" i="23" s="1"/>
  <c r="AA64" i="23"/>
  <c r="AA73" i="23"/>
  <c r="AA36" i="23"/>
  <c r="AA47" i="23"/>
  <c r="AC55" i="23"/>
  <c r="AD55" i="23" s="1"/>
  <c r="Y73" i="23"/>
  <c r="X73" i="23" s="1"/>
  <c r="Z18" i="23"/>
  <c r="Y66" i="23"/>
  <c r="X66" i="23" s="1"/>
  <c r="Y56" i="23"/>
  <c r="X56" i="23" s="1"/>
  <c r="AB66" i="23"/>
  <c r="AA66" i="23" s="1"/>
  <c r="Y77" i="23"/>
  <c r="X77" i="23" s="1"/>
  <c r="W18" i="23"/>
  <c r="AB26" i="23"/>
  <c r="AA26" i="23" s="1"/>
  <c r="AA77" i="23"/>
  <c r="Y84" i="23"/>
  <c r="Y40" i="23"/>
  <c r="X40" i="23" s="1"/>
  <c r="AA51" i="23"/>
  <c r="W55" i="23"/>
  <c r="AD77" i="23"/>
  <c r="AB84" i="23"/>
  <c r="AA84" i="23" s="1"/>
  <c r="Z55" i="23"/>
  <c r="AC18" i="23"/>
  <c r="AB40" i="23"/>
  <c r="AA40" i="23" s="1"/>
  <c r="Y26" i="23"/>
  <c r="X26" i="23" s="1"/>
  <c r="Y29" i="23"/>
  <c r="X29" i="23" s="1"/>
  <c r="AA29" i="23"/>
  <c r="X122" i="24" l="1"/>
  <c r="X121" i="24" s="1"/>
  <c r="R17" i="24"/>
  <c r="P17" i="24"/>
  <c r="Z121" i="24"/>
  <c r="N17" i="24"/>
  <c r="U17" i="24"/>
  <c r="W126" i="24"/>
  <c r="S17" i="24"/>
  <c r="T17" i="24"/>
  <c r="Q17" i="24"/>
  <c r="X99" i="24"/>
  <c r="W99" i="24" s="1"/>
  <c r="W108" i="24"/>
  <c r="W100" i="24"/>
  <c r="M17" i="24"/>
  <c r="Z52" i="24"/>
  <c r="AA17" i="24"/>
  <c r="I17" i="24"/>
  <c r="AC99" i="24"/>
  <c r="Z87" i="24"/>
  <c r="O17" i="24"/>
  <c r="Z122" i="24"/>
  <c r="X10" i="24"/>
  <c r="W116" i="24"/>
  <c r="L17" i="24"/>
  <c r="Z99" i="24"/>
  <c r="Y98" i="24"/>
  <c r="Z98" i="24" s="1"/>
  <c r="W107" i="24"/>
  <c r="AC122" i="24"/>
  <c r="AB121" i="24"/>
  <c r="AC121" i="24" s="1"/>
  <c r="J17" i="24"/>
  <c r="X87" i="24"/>
  <c r="X86" i="24" s="1"/>
  <c r="X18" i="24"/>
  <c r="W18" i="24" s="1"/>
  <c r="H13" i="24"/>
  <c r="W19" i="24"/>
  <c r="V121" i="24"/>
  <c r="X52" i="24"/>
  <c r="W52" i="24" s="1"/>
  <c r="AC18" i="24"/>
  <c r="Z18" i="24"/>
  <c r="Y17" i="24"/>
  <c r="V17" i="24"/>
  <c r="K17" i="24"/>
  <c r="J17" i="23"/>
  <c r="L17" i="23"/>
  <c r="Y122" i="23"/>
  <c r="Y121" i="23" s="1"/>
  <c r="N17" i="23"/>
  <c r="X116" i="23"/>
  <c r="X108" i="23"/>
  <c r="X94" i="23"/>
  <c r="X115" i="23"/>
  <c r="X107" i="23"/>
  <c r="K17" i="23"/>
  <c r="W17" i="23"/>
  <c r="I17" i="23"/>
  <c r="Y99" i="23"/>
  <c r="Y98" i="23" s="1"/>
  <c r="AA121" i="23"/>
  <c r="Z98" i="23"/>
  <c r="AA98" i="23" s="1"/>
  <c r="O17" i="23"/>
  <c r="AD122" i="23"/>
  <c r="W121" i="23"/>
  <c r="W98" i="23" s="1"/>
  <c r="M17" i="23"/>
  <c r="AA122" i="23"/>
  <c r="AA94" i="23"/>
  <c r="AA100" i="23"/>
  <c r="AD99" i="23"/>
  <c r="AC98" i="23"/>
  <c r="AD98" i="23" s="1"/>
  <c r="AC17" i="23"/>
  <c r="Y9" i="23" s="1"/>
  <c r="AA99" i="23"/>
  <c r="Z17" i="23"/>
  <c r="Y55" i="23"/>
  <c r="X55" i="23" s="1"/>
  <c r="X84" i="23"/>
  <c r="AA93" i="23"/>
  <c r="X93" i="23"/>
  <c r="AD93" i="23"/>
  <c r="AD92" i="23"/>
  <c r="AB55" i="23"/>
  <c r="AA55" i="23" s="1"/>
  <c r="AD19" i="23"/>
  <c r="V18" i="23"/>
  <c r="U18" i="23"/>
  <c r="T18" i="23"/>
  <c r="S18" i="23"/>
  <c r="R18" i="23"/>
  <c r="Q18" i="23"/>
  <c r="P18" i="23"/>
  <c r="Y86" i="24" l="1"/>
  <c r="Z86" i="24" s="1"/>
  <c r="W122" i="24"/>
  <c r="X98" i="24"/>
  <c r="Z17" i="24"/>
  <c r="W87" i="24"/>
  <c r="X17" i="24"/>
  <c r="W17" i="24" s="1"/>
  <c r="AC17" i="24"/>
  <c r="X9" i="24"/>
  <c r="W121" i="24"/>
  <c r="V98" i="24"/>
  <c r="X122" i="23"/>
  <c r="X121" i="23"/>
  <c r="X99" i="23"/>
  <c r="Z92" i="23"/>
  <c r="AA92" i="23" s="1"/>
  <c r="X98" i="23"/>
  <c r="W92" i="23"/>
  <c r="Y23" i="23"/>
  <c r="Y22" i="23"/>
  <c r="Y21" i="23"/>
  <c r="Y20" i="23"/>
  <c r="AE4" i="23"/>
  <c r="AE5" i="23"/>
  <c r="AE6" i="23"/>
  <c r="AE7" i="23"/>
  <c r="AE8" i="23"/>
  <c r="AE9" i="23"/>
  <c r="AE10" i="23"/>
  <c r="AE11" i="23"/>
  <c r="AE12" i="23"/>
  <c r="AE13" i="23"/>
  <c r="D10" i="23" a="1"/>
  <c r="D10" i="23" s="1"/>
  <c r="D11" i="23" a="1"/>
  <c r="D11" i="23" s="1"/>
  <c r="D12" i="23"/>
  <c r="H12" i="23" s="1"/>
  <c r="AD23" i="23"/>
  <c r="AD22" i="23"/>
  <c r="AD21" i="23"/>
  <c r="AD20" i="23"/>
  <c r="AA23" i="23"/>
  <c r="AA22" i="23"/>
  <c r="AA21" i="23"/>
  <c r="AB19" i="23"/>
  <c r="AB18" i="23" s="1"/>
  <c r="AB17" i="23" s="1"/>
  <c r="V16" i="23"/>
  <c r="U16" i="23"/>
  <c r="T16" i="23"/>
  <c r="S16" i="23"/>
  <c r="R16" i="23"/>
  <c r="Q16" i="23"/>
  <c r="P16" i="23"/>
  <c r="O16" i="23"/>
  <c r="N16" i="23"/>
  <c r="M16" i="23"/>
  <c r="W98" i="24" l="1"/>
  <c r="W86" i="24"/>
  <c r="X92" i="23"/>
  <c r="Y11" i="23"/>
  <c r="Y19" i="23"/>
  <c r="Y18" i="23" s="1"/>
  <c r="Y17" i="23" s="1"/>
  <c r="H10" i="23"/>
  <c r="AA19" i="23"/>
  <c r="Y13" i="23"/>
  <c r="Y12" i="23"/>
  <c r="AA20" i="23"/>
  <c r="P17" i="23"/>
  <c r="S17" i="23"/>
  <c r="T17" i="23"/>
  <c r="U17" i="23"/>
  <c r="V17" i="23"/>
  <c r="Q17" i="23"/>
  <c r="R17" i="23"/>
  <c r="Y10" i="23" l="1"/>
  <c r="X19" i="23"/>
  <c r="H13" i="23"/>
  <c r="X18" i="23"/>
  <c r="AD18" i="23"/>
  <c r="AA18" i="23"/>
  <c r="AD17" i="23" l="1"/>
  <c r="AA17" i="23"/>
  <c r="X17" i="23"/>
  <c r="Y158" i="20"/>
  <c r="Z158" i="20" s="1"/>
  <c r="X158" i="20"/>
  <c r="V158" i="20"/>
  <c r="S158" i="20"/>
  <c r="Y154" i="20"/>
  <c r="Z154" i="20" s="1"/>
  <c r="X154" i="20"/>
  <c r="X153" i="20" s="1"/>
  <c r="V154" i="20"/>
  <c r="V153" i="20" s="1"/>
  <c r="S154" i="20"/>
  <c r="Y149" i="20"/>
  <c r="Z149" i="20" s="1"/>
  <c r="X149" i="20"/>
  <c r="V149" i="20"/>
  <c r="S149" i="20"/>
  <c r="Y145" i="20"/>
  <c r="Z145" i="20" s="1"/>
  <c r="X145" i="20"/>
  <c r="V145" i="20"/>
  <c r="S145" i="20"/>
  <c r="Y141" i="20"/>
  <c r="Z141" i="20" s="1"/>
  <c r="X141" i="20"/>
  <c r="V141" i="20"/>
  <c r="S141" i="20"/>
  <c r="Y137" i="20"/>
  <c r="Z137" i="20" s="1"/>
  <c r="X137" i="20"/>
  <c r="V137" i="20"/>
  <c r="S137" i="20"/>
  <c r="Y133" i="20"/>
  <c r="Z133" i="20" s="1"/>
  <c r="X133" i="20"/>
  <c r="V133" i="20"/>
  <c r="S133" i="20"/>
  <c r="Y129" i="20"/>
  <c r="Z129" i="20" s="1"/>
  <c r="X129" i="20"/>
  <c r="V129" i="20"/>
  <c r="S129" i="20"/>
  <c r="Y125" i="20"/>
  <c r="Z125" i="20" s="1"/>
  <c r="X125" i="20"/>
  <c r="V125" i="20"/>
  <c r="S125" i="20"/>
  <c r="Y121" i="20"/>
  <c r="Z121" i="20" s="1"/>
  <c r="X121" i="20"/>
  <c r="V121" i="20"/>
  <c r="S121" i="20"/>
  <c r="Y117" i="20"/>
  <c r="Z117" i="20" s="1"/>
  <c r="X117" i="20"/>
  <c r="V117" i="20"/>
  <c r="S117" i="20"/>
  <c r="Y113" i="20"/>
  <c r="Z113" i="20" s="1"/>
  <c r="X113" i="20"/>
  <c r="V113" i="20"/>
  <c r="S113" i="20"/>
  <c r="Y109" i="20"/>
  <c r="Z109" i="20" s="1"/>
  <c r="X109" i="20"/>
  <c r="V109" i="20"/>
  <c r="S109" i="20"/>
  <c r="Y105" i="20"/>
  <c r="X105" i="20"/>
  <c r="V105" i="20"/>
  <c r="W105" i="20" s="1"/>
  <c r="S105" i="20"/>
  <c r="Y100" i="20"/>
  <c r="Z100" i="20" s="1"/>
  <c r="X100" i="20"/>
  <c r="V100" i="20"/>
  <c r="S100" i="20"/>
  <c r="Y96" i="20"/>
  <c r="Z96" i="20" s="1"/>
  <c r="X96" i="20"/>
  <c r="V96" i="20"/>
  <c r="S96" i="20"/>
  <c r="Y92" i="20"/>
  <c r="X92" i="20"/>
  <c r="V92" i="20"/>
  <c r="S92" i="20"/>
  <c r="Y88" i="20"/>
  <c r="Z88" i="20" s="1"/>
  <c r="X88" i="20"/>
  <c r="V88" i="20"/>
  <c r="W88" i="20" s="1"/>
  <c r="S88" i="20"/>
  <c r="Y84" i="20"/>
  <c r="Z84" i="20" s="1"/>
  <c r="X84" i="20"/>
  <c r="V84" i="20"/>
  <c r="S84" i="20"/>
  <c r="Y80" i="20"/>
  <c r="Z80" i="20" s="1"/>
  <c r="X80" i="20"/>
  <c r="V80" i="20"/>
  <c r="S80" i="20"/>
  <c r="Y76" i="20"/>
  <c r="X76" i="20"/>
  <c r="V76" i="20"/>
  <c r="S76" i="20"/>
  <c r="Y71" i="20"/>
  <c r="Z71" i="20" s="1"/>
  <c r="X71" i="20"/>
  <c r="V71" i="20"/>
  <c r="S71" i="20"/>
  <c r="Y67" i="20"/>
  <c r="Z67" i="20" s="1"/>
  <c r="X67" i="20"/>
  <c r="V67" i="20"/>
  <c r="S67" i="20"/>
  <c r="Y58" i="20"/>
  <c r="Z58" i="20" s="1"/>
  <c r="X58" i="20"/>
  <c r="X55" i="20" s="1"/>
  <c r="V58" i="20"/>
  <c r="S58" i="20"/>
  <c r="Y55" i="20"/>
  <c r="Z55" i="20" s="1"/>
  <c r="V55" i="20"/>
  <c r="S55" i="20"/>
  <c r="W161" i="20"/>
  <c r="W160" i="20"/>
  <c r="W159" i="20"/>
  <c r="W157" i="20"/>
  <c r="W156" i="20"/>
  <c r="W155" i="20"/>
  <c r="W152" i="20"/>
  <c r="W151" i="20"/>
  <c r="W150" i="20"/>
  <c r="W148" i="20"/>
  <c r="W147" i="20"/>
  <c r="W146" i="20"/>
  <c r="W144" i="20"/>
  <c r="W143" i="20"/>
  <c r="W142" i="20"/>
  <c r="W140" i="20"/>
  <c r="W139" i="20"/>
  <c r="W138" i="20"/>
  <c r="W136" i="20"/>
  <c r="W135" i="20"/>
  <c r="W134" i="20"/>
  <c r="W132" i="20"/>
  <c r="W131" i="20"/>
  <c r="W130" i="20"/>
  <c r="W128" i="20"/>
  <c r="W127" i="20"/>
  <c r="W126" i="20"/>
  <c r="W124" i="20"/>
  <c r="W123" i="20"/>
  <c r="W122" i="20"/>
  <c r="W120" i="20"/>
  <c r="W119" i="20"/>
  <c r="W118" i="20"/>
  <c r="W116" i="20"/>
  <c r="W115" i="20"/>
  <c r="W114" i="20"/>
  <c r="W112" i="20"/>
  <c r="W111" i="20"/>
  <c r="W110" i="20"/>
  <c r="W108" i="20"/>
  <c r="W107" i="20"/>
  <c r="W106" i="20"/>
  <c r="W103" i="20"/>
  <c r="W102" i="20"/>
  <c r="W101" i="20"/>
  <c r="W99" i="20"/>
  <c r="W98" i="20"/>
  <c r="W97" i="20"/>
  <c r="W95" i="20"/>
  <c r="W94" i="20"/>
  <c r="W93" i="20"/>
  <c r="W91" i="20"/>
  <c r="W90" i="20"/>
  <c r="W89" i="20"/>
  <c r="W87" i="20"/>
  <c r="W86" i="20"/>
  <c r="W85" i="20"/>
  <c r="W83" i="20"/>
  <c r="W82" i="20"/>
  <c r="W81" i="20"/>
  <c r="W79" i="20"/>
  <c r="W78" i="20"/>
  <c r="W77" i="20"/>
  <c r="W74" i="20"/>
  <c r="W73" i="20"/>
  <c r="W72" i="20"/>
  <c r="W70" i="20"/>
  <c r="W69" i="20"/>
  <c r="W68" i="20"/>
  <c r="W64" i="20"/>
  <c r="W63" i="20"/>
  <c r="W62" i="20"/>
  <c r="W61" i="20"/>
  <c r="W60" i="20"/>
  <c r="W59" i="20"/>
  <c r="W57" i="20"/>
  <c r="W56" i="20"/>
  <c r="W54" i="20"/>
  <c r="W53" i="20"/>
  <c r="W52" i="20"/>
  <c r="W51" i="20"/>
  <c r="W50" i="20"/>
  <c r="W49" i="20"/>
  <c r="W47" i="20"/>
  <c r="W46" i="20"/>
  <c r="W45" i="20"/>
  <c r="W44" i="20"/>
  <c r="W43" i="20"/>
  <c r="W42" i="20"/>
  <c r="W40" i="20"/>
  <c r="W39" i="20"/>
  <c r="W38" i="20"/>
  <c r="W37" i="20"/>
  <c r="W36" i="20"/>
  <c r="W35" i="20"/>
  <c r="W32" i="20"/>
  <c r="W31" i="20"/>
  <c r="W30" i="20"/>
  <c r="W28" i="20"/>
  <c r="W27" i="20"/>
  <c r="W24" i="20"/>
  <c r="W23" i="20"/>
  <c r="W21" i="20"/>
  <c r="W20" i="20"/>
  <c r="W18" i="20"/>
  <c r="Y48" i="20"/>
  <c r="Z48" i="20" s="1"/>
  <c r="X48" i="20"/>
  <c r="V48" i="20"/>
  <c r="S48" i="20"/>
  <c r="Y41" i="20"/>
  <c r="Z41" i="20" s="1"/>
  <c r="X41" i="20"/>
  <c r="V41" i="20"/>
  <c r="S41" i="20"/>
  <c r="Y34" i="20"/>
  <c r="Z34" i="20" s="1"/>
  <c r="X34" i="20"/>
  <c r="V34" i="20"/>
  <c r="S34" i="20"/>
  <c r="Y29" i="20"/>
  <c r="Z29" i="20" s="1"/>
  <c r="X29" i="20"/>
  <c r="V29" i="20"/>
  <c r="S29" i="20"/>
  <c r="Y26" i="20"/>
  <c r="Z26" i="20" s="1"/>
  <c r="X26" i="20"/>
  <c r="V26" i="20"/>
  <c r="S26" i="20"/>
  <c r="Y22" i="20"/>
  <c r="Z22" i="20" s="1"/>
  <c r="X22" i="20"/>
  <c r="V22" i="20"/>
  <c r="S22" i="20"/>
  <c r="Y19" i="20"/>
  <c r="Z19" i="20" s="1"/>
  <c r="X19" i="20"/>
  <c r="V19" i="20"/>
  <c r="S19" i="20"/>
  <c r="Y16" i="20"/>
  <c r="Z16" i="20" s="1"/>
  <c r="X16" i="20"/>
  <c r="V16" i="20"/>
  <c r="S16" i="20"/>
  <c r="R158" i="20"/>
  <c r="Q158" i="20"/>
  <c r="P158" i="20"/>
  <c r="O158" i="20"/>
  <c r="N158" i="20"/>
  <c r="M158" i="20"/>
  <c r="L158" i="20"/>
  <c r="K158" i="20"/>
  <c r="J158" i="20"/>
  <c r="I158" i="20"/>
  <c r="R154" i="20"/>
  <c r="Q154" i="20"/>
  <c r="P154" i="20"/>
  <c r="O154" i="20"/>
  <c r="N154" i="20"/>
  <c r="M154" i="20"/>
  <c r="L154" i="20"/>
  <c r="K154" i="20"/>
  <c r="J154" i="20"/>
  <c r="I154" i="20"/>
  <c r="R149" i="20"/>
  <c r="Q149" i="20"/>
  <c r="P149" i="20"/>
  <c r="O149" i="20"/>
  <c r="N149" i="20"/>
  <c r="M149" i="20"/>
  <c r="L149" i="20"/>
  <c r="K149" i="20"/>
  <c r="J149" i="20"/>
  <c r="I149" i="20"/>
  <c r="R145" i="20"/>
  <c r="Q145" i="20"/>
  <c r="P145" i="20"/>
  <c r="O145" i="20"/>
  <c r="N145" i="20"/>
  <c r="M145" i="20"/>
  <c r="L145" i="20"/>
  <c r="K145" i="20"/>
  <c r="J145" i="20"/>
  <c r="I145" i="20"/>
  <c r="R141" i="20"/>
  <c r="Q141" i="20"/>
  <c r="P141" i="20"/>
  <c r="O141" i="20"/>
  <c r="N141" i="20"/>
  <c r="M141" i="20"/>
  <c r="L141" i="20"/>
  <c r="K141" i="20"/>
  <c r="J141" i="20"/>
  <c r="I141" i="20"/>
  <c r="R137" i="20"/>
  <c r="Q137" i="20"/>
  <c r="P137" i="20"/>
  <c r="O137" i="20"/>
  <c r="N137" i="20"/>
  <c r="M137" i="20"/>
  <c r="L137" i="20"/>
  <c r="K137" i="20"/>
  <c r="J137" i="20"/>
  <c r="I137" i="20"/>
  <c r="R133" i="20"/>
  <c r="Q133" i="20"/>
  <c r="P133" i="20"/>
  <c r="O133" i="20"/>
  <c r="N133" i="20"/>
  <c r="M133" i="20"/>
  <c r="L133" i="20"/>
  <c r="K133" i="20"/>
  <c r="J133" i="20"/>
  <c r="I133" i="20"/>
  <c r="R129" i="20"/>
  <c r="Q129" i="20"/>
  <c r="P129" i="20"/>
  <c r="O129" i="20"/>
  <c r="N129" i="20"/>
  <c r="M129" i="20"/>
  <c r="L129" i="20"/>
  <c r="K129" i="20"/>
  <c r="J129" i="20"/>
  <c r="I129" i="20"/>
  <c r="R125" i="20"/>
  <c r="Q125" i="20"/>
  <c r="P125" i="20"/>
  <c r="O125" i="20"/>
  <c r="N125" i="20"/>
  <c r="M125" i="20"/>
  <c r="L125" i="20"/>
  <c r="K125" i="20"/>
  <c r="J125" i="20"/>
  <c r="I125" i="20"/>
  <c r="R121" i="20"/>
  <c r="Q121" i="20"/>
  <c r="P121" i="20"/>
  <c r="O121" i="20"/>
  <c r="N121" i="20"/>
  <c r="M121" i="20"/>
  <c r="L121" i="20"/>
  <c r="K121" i="20"/>
  <c r="J121" i="20"/>
  <c r="I121" i="20"/>
  <c r="R117" i="20"/>
  <c r="Q117" i="20"/>
  <c r="P117" i="20"/>
  <c r="O117" i="20"/>
  <c r="N117" i="20"/>
  <c r="M117" i="20"/>
  <c r="L117" i="20"/>
  <c r="K117" i="20"/>
  <c r="J117" i="20"/>
  <c r="I117" i="20"/>
  <c r="R113" i="20"/>
  <c r="Q113" i="20"/>
  <c r="P113" i="20"/>
  <c r="O113" i="20"/>
  <c r="N113" i="20"/>
  <c r="M113" i="20"/>
  <c r="L113" i="20"/>
  <c r="K113" i="20"/>
  <c r="J113" i="20"/>
  <c r="I113" i="20"/>
  <c r="R109" i="20"/>
  <c r="Q109" i="20"/>
  <c r="P109" i="20"/>
  <c r="O109" i="20"/>
  <c r="N109" i="20"/>
  <c r="M109" i="20"/>
  <c r="L109" i="20"/>
  <c r="K109" i="20"/>
  <c r="J109" i="20"/>
  <c r="I109" i="20"/>
  <c r="R105" i="20"/>
  <c r="Q105" i="20"/>
  <c r="P105" i="20"/>
  <c r="O105" i="20"/>
  <c r="N105" i="20"/>
  <c r="M105" i="20"/>
  <c r="L105" i="20"/>
  <c r="K105" i="20"/>
  <c r="J105" i="20"/>
  <c r="I105" i="20"/>
  <c r="R100" i="20"/>
  <c r="Q100" i="20"/>
  <c r="P100" i="20"/>
  <c r="O100" i="20"/>
  <c r="N100" i="20"/>
  <c r="M100" i="20"/>
  <c r="L100" i="20"/>
  <c r="K100" i="20"/>
  <c r="J100" i="20"/>
  <c r="I100" i="20"/>
  <c r="R96" i="20"/>
  <c r="Q96" i="20"/>
  <c r="P96" i="20"/>
  <c r="O96" i="20"/>
  <c r="N96" i="20"/>
  <c r="M96" i="20"/>
  <c r="L96" i="20"/>
  <c r="K96" i="20"/>
  <c r="J96" i="20"/>
  <c r="I96" i="20"/>
  <c r="R92" i="20"/>
  <c r="Q92" i="20"/>
  <c r="P92" i="20"/>
  <c r="O92" i="20"/>
  <c r="N92" i="20"/>
  <c r="M92" i="20"/>
  <c r="L92" i="20"/>
  <c r="K92" i="20"/>
  <c r="J92" i="20"/>
  <c r="I92" i="20"/>
  <c r="R88" i="20"/>
  <c r="Q88" i="20"/>
  <c r="P88" i="20"/>
  <c r="O88" i="20"/>
  <c r="N88" i="20"/>
  <c r="M88" i="20"/>
  <c r="L88" i="20"/>
  <c r="K88" i="20"/>
  <c r="J88" i="20"/>
  <c r="I88" i="20"/>
  <c r="R84" i="20"/>
  <c r="Q84" i="20"/>
  <c r="P84" i="20"/>
  <c r="O84" i="20"/>
  <c r="N84" i="20"/>
  <c r="M84" i="20"/>
  <c r="L84" i="20"/>
  <c r="K84" i="20"/>
  <c r="J84" i="20"/>
  <c r="I84" i="20"/>
  <c r="R80" i="20"/>
  <c r="Q80" i="20"/>
  <c r="P80" i="20"/>
  <c r="O80" i="20"/>
  <c r="N80" i="20"/>
  <c r="M80" i="20"/>
  <c r="L80" i="20"/>
  <c r="K80" i="20"/>
  <c r="J80" i="20"/>
  <c r="I80" i="20"/>
  <c r="R76" i="20"/>
  <c r="Q76" i="20"/>
  <c r="P76" i="20"/>
  <c r="O76" i="20"/>
  <c r="N76" i="20"/>
  <c r="M76" i="20"/>
  <c r="L76" i="20"/>
  <c r="K76" i="20"/>
  <c r="J76" i="20"/>
  <c r="I76" i="20"/>
  <c r="R71" i="20"/>
  <c r="Q71" i="20"/>
  <c r="P71" i="20"/>
  <c r="O71" i="20"/>
  <c r="N71" i="20"/>
  <c r="M71" i="20"/>
  <c r="L71" i="20"/>
  <c r="K71" i="20"/>
  <c r="J71" i="20"/>
  <c r="I71" i="20"/>
  <c r="R67" i="20"/>
  <c r="Q67" i="20"/>
  <c r="P67" i="20"/>
  <c r="O67" i="20"/>
  <c r="N67" i="20"/>
  <c r="M67" i="20"/>
  <c r="L67" i="20"/>
  <c r="K67" i="20"/>
  <c r="J67" i="20"/>
  <c r="I67" i="20"/>
  <c r="R58" i="20"/>
  <c r="Q58" i="20"/>
  <c r="P58" i="20"/>
  <c r="O58" i="20"/>
  <c r="N58" i="20"/>
  <c r="M58" i="20"/>
  <c r="L58" i="20"/>
  <c r="K58" i="20"/>
  <c r="J58" i="20"/>
  <c r="I58" i="20"/>
  <c r="R55" i="20"/>
  <c r="Q55" i="20"/>
  <c r="P55" i="20"/>
  <c r="O55" i="20"/>
  <c r="N55" i="20"/>
  <c r="M55" i="20"/>
  <c r="L55" i="20"/>
  <c r="K55" i="20"/>
  <c r="J55" i="20"/>
  <c r="I55" i="20"/>
  <c r="R48" i="20"/>
  <c r="Q48" i="20"/>
  <c r="P48" i="20"/>
  <c r="O48" i="20"/>
  <c r="N48" i="20"/>
  <c r="M48" i="20"/>
  <c r="L48" i="20"/>
  <c r="K48" i="20"/>
  <c r="J48" i="20"/>
  <c r="R41" i="20"/>
  <c r="Q41" i="20"/>
  <c r="P41" i="20"/>
  <c r="O41" i="20"/>
  <c r="N41" i="20"/>
  <c r="M41" i="20"/>
  <c r="L41" i="20"/>
  <c r="K41" i="20"/>
  <c r="J41" i="20"/>
  <c r="I48" i="20"/>
  <c r="I41" i="20"/>
  <c r="R34" i="20"/>
  <c r="Q34" i="20"/>
  <c r="P34" i="20"/>
  <c r="O34" i="20"/>
  <c r="N34" i="20"/>
  <c r="M34" i="20"/>
  <c r="L34" i="20"/>
  <c r="K34" i="20"/>
  <c r="J34" i="20"/>
  <c r="I34" i="20"/>
  <c r="R29" i="20"/>
  <c r="Q29" i="20"/>
  <c r="P29" i="20"/>
  <c r="O29" i="20"/>
  <c r="N29" i="20"/>
  <c r="M29" i="20"/>
  <c r="L29" i="20"/>
  <c r="K29" i="20"/>
  <c r="J29" i="20"/>
  <c r="I29" i="20"/>
  <c r="R26" i="20"/>
  <c r="Q26" i="20"/>
  <c r="P26" i="20"/>
  <c r="O26" i="20"/>
  <c r="N26" i="20"/>
  <c r="M26" i="20"/>
  <c r="L26" i="20"/>
  <c r="K26" i="20"/>
  <c r="J26" i="20"/>
  <c r="I26" i="20"/>
  <c r="R22" i="20"/>
  <c r="Q22" i="20"/>
  <c r="P22" i="20"/>
  <c r="O22" i="20"/>
  <c r="N22" i="20"/>
  <c r="M22" i="20"/>
  <c r="L22" i="20"/>
  <c r="K22" i="20"/>
  <c r="J22" i="20"/>
  <c r="I22" i="20"/>
  <c r="R19" i="20"/>
  <c r="Q19" i="20"/>
  <c r="P19" i="20"/>
  <c r="O19" i="20"/>
  <c r="N19" i="20"/>
  <c r="M19" i="20"/>
  <c r="L19" i="20"/>
  <c r="K19" i="20"/>
  <c r="J19" i="20"/>
  <c r="I19" i="20"/>
  <c r="R16" i="20"/>
  <c r="Q16" i="20"/>
  <c r="P16" i="20"/>
  <c r="O16" i="20"/>
  <c r="N16" i="20"/>
  <c r="M16" i="20"/>
  <c r="L16" i="20"/>
  <c r="K16" i="20"/>
  <c r="J16" i="20"/>
  <c r="I16" i="20"/>
  <c r="Z161" i="20"/>
  <c r="Z160" i="20"/>
  <c r="Z159" i="20"/>
  <c r="Z157" i="20"/>
  <c r="Z156" i="20"/>
  <c r="Z155" i="20"/>
  <c r="Z152" i="20"/>
  <c r="Z151" i="20"/>
  <c r="Z150" i="20"/>
  <c r="Z148" i="20"/>
  <c r="Z147" i="20"/>
  <c r="Z146" i="20"/>
  <c r="Z144" i="20"/>
  <c r="Z143" i="20"/>
  <c r="Z142" i="20"/>
  <c r="Z140" i="20"/>
  <c r="Z139" i="20"/>
  <c r="Z138" i="20"/>
  <c r="Z136" i="20"/>
  <c r="Z135" i="20"/>
  <c r="Z134" i="20"/>
  <c r="Z132" i="20"/>
  <c r="Z131" i="20"/>
  <c r="Z130" i="20"/>
  <c r="Z128" i="20"/>
  <c r="Z127" i="20"/>
  <c r="Z126" i="20"/>
  <c r="Z124" i="20"/>
  <c r="Z123" i="20"/>
  <c r="Z122" i="20"/>
  <c r="Z120" i="20"/>
  <c r="Z119" i="20"/>
  <c r="Z118" i="20"/>
  <c r="Z116" i="20"/>
  <c r="Z115" i="20"/>
  <c r="Z114" i="20"/>
  <c r="Z112" i="20"/>
  <c r="Z111" i="20"/>
  <c r="Z110" i="20"/>
  <c r="Z108" i="20"/>
  <c r="Z107" i="20"/>
  <c r="Z106" i="20"/>
  <c r="Z103" i="20"/>
  <c r="Z102" i="20"/>
  <c r="Z101" i="20"/>
  <c r="Z99" i="20"/>
  <c r="Z98" i="20"/>
  <c r="Z97" i="20"/>
  <c r="Z95" i="20"/>
  <c r="Z94" i="20"/>
  <c r="Z93" i="20"/>
  <c r="Z92" i="20"/>
  <c r="Z91" i="20"/>
  <c r="Z90" i="20"/>
  <c r="Z89" i="20"/>
  <c r="Z87" i="20"/>
  <c r="Z86" i="20"/>
  <c r="Z85" i="20"/>
  <c r="Z83" i="20"/>
  <c r="Z82" i="20"/>
  <c r="Z81" i="20"/>
  <c r="Z79" i="20"/>
  <c r="Z78" i="20"/>
  <c r="Z77" i="20"/>
  <c r="Z74" i="20"/>
  <c r="Z73" i="20"/>
  <c r="Z72" i="20"/>
  <c r="Z70" i="20"/>
  <c r="Z69" i="20"/>
  <c r="Z68" i="20"/>
  <c r="Z64" i="20"/>
  <c r="Z63" i="20"/>
  <c r="Z62" i="20"/>
  <c r="Z61" i="20"/>
  <c r="Z60" i="20"/>
  <c r="Z59" i="20"/>
  <c r="Z57" i="20"/>
  <c r="Z56" i="20"/>
  <c r="Z54" i="20"/>
  <c r="Z53" i="20"/>
  <c r="Z52" i="20"/>
  <c r="Z51" i="20"/>
  <c r="Z50" i="20"/>
  <c r="Z49" i="20"/>
  <c r="Z47" i="20"/>
  <c r="Z46" i="20"/>
  <c r="Z45" i="20"/>
  <c r="Z44" i="20"/>
  <c r="Z43" i="20"/>
  <c r="Z42" i="20"/>
  <c r="Z40" i="20"/>
  <c r="Z39" i="20"/>
  <c r="Z38" i="20"/>
  <c r="Z37" i="20"/>
  <c r="Z36" i="20"/>
  <c r="Z35" i="20"/>
  <c r="Z32" i="20"/>
  <c r="Z31" i="20"/>
  <c r="Z30" i="20"/>
  <c r="Z28" i="20"/>
  <c r="Z27" i="20"/>
  <c r="Z24" i="20"/>
  <c r="Z23" i="20"/>
  <c r="Z21" i="20"/>
  <c r="Z20" i="20"/>
  <c r="Z18" i="20"/>
  <c r="Z17" i="20"/>
  <c r="W17" i="20"/>
  <c r="U161" i="20"/>
  <c r="U160" i="20"/>
  <c r="U159" i="20"/>
  <c r="U157" i="20"/>
  <c r="U156" i="20"/>
  <c r="U155" i="20"/>
  <c r="U152" i="20"/>
  <c r="U151" i="20"/>
  <c r="U150" i="20"/>
  <c r="U148" i="20"/>
  <c r="U147" i="20"/>
  <c r="U146" i="20"/>
  <c r="U144" i="20"/>
  <c r="U143" i="20"/>
  <c r="U142" i="20"/>
  <c r="U140" i="20"/>
  <c r="U139" i="20"/>
  <c r="U138" i="20"/>
  <c r="U136" i="20"/>
  <c r="U135" i="20"/>
  <c r="U134" i="20"/>
  <c r="U132" i="20"/>
  <c r="U131" i="20"/>
  <c r="U130" i="20"/>
  <c r="U128" i="20"/>
  <c r="U127" i="20"/>
  <c r="U126" i="20"/>
  <c r="U124" i="20"/>
  <c r="U123" i="20"/>
  <c r="U122" i="20"/>
  <c r="U120" i="20"/>
  <c r="U119" i="20"/>
  <c r="U118" i="20"/>
  <c r="U116" i="20"/>
  <c r="U115" i="20"/>
  <c r="U114" i="20"/>
  <c r="U112" i="20"/>
  <c r="U111" i="20"/>
  <c r="U110" i="20"/>
  <c r="U108" i="20"/>
  <c r="U107" i="20"/>
  <c r="U106" i="20"/>
  <c r="U103" i="20"/>
  <c r="U102" i="20"/>
  <c r="U101" i="20"/>
  <c r="U99" i="20"/>
  <c r="U98" i="20"/>
  <c r="U97" i="20"/>
  <c r="U95" i="20"/>
  <c r="U94" i="20"/>
  <c r="U93" i="20"/>
  <c r="U91" i="20"/>
  <c r="U90" i="20"/>
  <c r="U89" i="20"/>
  <c r="U87" i="20"/>
  <c r="U86" i="20"/>
  <c r="U85" i="20"/>
  <c r="U83" i="20"/>
  <c r="U82" i="20"/>
  <c r="U81" i="20"/>
  <c r="U79" i="20"/>
  <c r="U78" i="20"/>
  <c r="U77" i="20"/>
  <c r="U74" i="20"/>
  <c r="U73" i="20"/>
  <c r="U72" i="20"/>
  <c r="U70" i="20"/>
  <c r="U69" i="20"/>
  <c r="U68" i="20"/>
  <c r="U64" i="20"/>
  <c r="U63" i="20"/>
  <c r="U62" i="20"/>
  <c r="U61" i="20"/>
  <c r="U60" i="20"/>
  <c r="U59" i="20"/>
  <c r="U57" i="20"/>
  <c r="U56" i="20"/>
  <c r="U54" i="20"/>
  <c r="U53" i="20"/>
  <c r="U52" i="20"/>
  <c r="U51" i="20"/>
  <c r="U50" i="20"/>
  <c r="U49" i="20"/>
  <c r="U47" i="20"/>
  <c r="U46" i="20"/>
  <c r="U45" i="20"/>
  <c r="U44" i="20"/>
  <c r="U43" i="20"/>
  <c r="U42" i="20"/>
  <c r="U40" i="20"/>
  <c r="U39" i="20"/>
  <c r="U38" i="20"/>
  <c r="U37" i="20"/>
  <c r="U36" i="20"/>
  <c r="U35" i="20"/>
  <c r="U32" i="20"/>
  <c r="U31" i="20"/>
  <c r="U30" i="20"/>
  <c r="U28" i="20"/>
  <c r="U27" i="20"/>
  <c r="U24" i="20"/>
  <c r="U23" i="20"/>
  <c r="U21" i="20"/>
  <c r="U20" i="20"/>
  <c r="U18" i="20"/>
  <c r="U17" i="20"/>
  <c r="W76" i="20" l="1"/>
  <c r="W92" i="20"/>
  <c r="W109" i="20"/>
  <c r="W125" i="20"/>
  <c r="W141" i="20"/>
  <c r="W158" i="20"/>
  <c r="W71" i="20"/>
  <c r="U55" i="20"/>
  <c r="T55" i="20" s="1"/>
  <c r="U22" i="20"/>
  <c r="T22" i="20" s="1"/>
  <c r="U76" i="20"/>
  <c r="T76" i="20" s="1"/>
  <c r="R25" i="20"/>
  <c r="L66" i="20"/>
  <c r="Y104" i="20"/>
  <c r="Z104" i="20" s="1"/>
  <c r="U109" i="20"/>
  <c r="T109" i="20" s="1"/>
  <c r="W41" i="20"/>
  <c r="S75" i="20"/>
  <c r="S25" i="20"/>
  <c r="W58" i="20"/>
  <c r="W80" i="20"/>
  <c r="W96" i="20"/>
  <c r="W113" i="20"/>
  <c r="X33" i="20"/>
  <c r="Z105" i="20"/>
  <c r="U26" i="20"/>
  <c r="T26" i="20" s="1"/>
  <c r="U113" i="20"/>
  <c r="T113" i="20" s="1"/>
  <c r="S66" i="20"/>
  <c r="U71" i="20"/>
  <c r="T71" i="20" s="1"/>
  <c r="W67" i="20"/>
  <c r="W84" i="20"/>
  <c r="W100" i="20"/>
  <c r="W117" i="20"/>
  <c r="W133" i="20"/>
  <c r="W149" i="20"/>
  <c r="S104" i="20"/>
  <c r="Y15" i="20"/>
  <c r="Z15" i="20" s="1"/>
  <c r="M66" i="20"/>
  <c r="X25" i="20"/>
  <c r="X75" i="20"/>
  <c r="U141" i="20"/>
  <c r="T141" i="20" s="1"/>
  <c r="U121" i="20"/>
  <c r="T121" i="20" s="1"/>
  <c r="W16" i="20"/>
  <c r="W29" i="20"/>
  <c r="P153" i="20"/>
  <c r="X66" i="20"/>
  <c r="X104" i="20"/>
  <c r="Y75" i="20"/>
  <c r="Z75" i="20" s="1"/>
  <c r="Z76" i="20"/>
  <c r="X15" i="20"/>
  <c r="R66" i="20"/>
  <c r="S15" i="20"/>
  <c r="S33" i="20"/>
  <c r="P25" i="20"/>
  <c r="S153" i="20"/>
  <c r="W129" i="20"/>
  <c r="W145" i="20"/>
  <c r="Q153" i="20"/>
  <c r="Y25" i="20"/>
  <c r="Z25" i="20" s="1"/>
  <c r="U129" i="20"/>
  <c r="T129" i="20" s="1"/>
  <c r="J66" i="20"/>
  <c r="W19" i="20"/>
  <c r="M15" i="20"/>
  <c r="Y33" i="20"/>
  <c r="Z33" i="20" s="1"/>
  <c r="Y153" i="20"/>
  <c r="Z153" i="20" s="1"/>
  <c r="K153" i="20"/>
  <c r="W121" i="20"/>
  <c r="W137" i="20"/>
  <c r="W154" i="20"/>
  <c r="Y66" i="20"/>
  <c r="I25" i="20"/>
  <c r="U117" i="20"/>
  <c r="T117" i="20" s="1"/>
  <c r="W55" i="20"/>
  <c r="U96" i="20"/>
  <c r="T96" i="20" s="1"/>
  <c r="W26" i="20"/>
  <c r="U100" i="20"/>
  <c r="T100" i="20" s="1"/>
  <c r="U80" i="20"/>
  <c r="T80" i="20" s="1"/>
  <c r="U145" i="20"/>
  <c r="T145" i="20" s="1"/>
  <c r="U58" i="20"/>
  <c r="T58" i="20" s="1"/>
  <c r="U125" i="20"/>
  <c r="T125" i="20" s="1"/>
  <c r="U158" i="20"/>
  <c r="T158" i="20" s="1"/>
  <c r="U105" i="20"/>
  <c r="T105" i="20" s="1"/>
  <c r="U149" i="20"/>
  <c r="T149" i="20" s="1"/>
  <c r="U84" i="20"/>
  <c r="T84" i="20" s="1"/>
  <c r="U88" i="20"/>
  <c r="T88" i="20" s="1"/>
  <c r="U154" i="20"/>
  <c r="U67" i="20"/>
  <c r="U133" i="20"/>
  <c r="U92" i="20"/>
  <c r="U48" i="20"/>
  <c r="T48" i="20" s="1"/>
  <c r="U29" i="20"/>
  <c r="T29" i="20" s="1"/>
  <c r="U137" i="20"/>
  <c r="T137" i="20" s="1"/>
  <c r="U34" i="20"/>
  <c r="T34" i="20" s="1"/>
  <c r="V15" i="20"/>
  <c r="V66" i="20"/>
  <c r="V33" i="20"/>
  <c r="V104" i="20"/>
  <c r="U16" i="20"/>
  <c r="T16" i="20" s="1"/>
  <c r="V25" i="20"/>
  <c r="V75" i="20"/>
  <c r="W153" i="20"/>
  <c r="N66" i="20"/>
  <c r="Q33" i="20"/>
  <c r="I33" i="20"/>
  <c r="O66" i="20"/>
  <c r="K75" i="20"/>
  <c r="M153" i="20"/>
  <c r="P66" i="20"/>
  <c r="N153" i="20"/>
  <c r="Q66" i="20"/>
  <c r="O153" i="20"/>
  <c r="N15" i="20"/>
  <c r="L75" i="20"/>
  <c r="R153" i="20"/>
  <c r="L153" i="20"/>
  <c r="W34" i="20"/>
  <c r="J25" i="20"/>
  <c r="W22" i="20"/>
  <c r="R33" i="20"/>
  <c r="M75" i="20"/>
  <c r="U41" i="20"/>
  <c r="T41" i="20" s="1"/>
  <c r="J33" i="20"/>
  <c r="O75" i="20"/>
  <c r="K33" i="20"/>
  <c r="P75" i="20"/>
  <c r="J104" i="20"/>
  <c r="O15" i="20"/>
  <c r="Q75" i="20"/>
  <c r="P15" i="20"/>
  <c r="R75" i="20"/>
  <c r="L104" i="20"/>
  <c r="Q15" i="20"/>
  <c r="I75" i="20"/>
  <c r="L15" i="20"/>
  <c r="N25" i="20"/>
  <c r="J75" i="20"/>
  <c r="P33" i="20"/>
  <c r="O104" i="20"/>
  <c r="P104" i="20"/>
  <c r="Q25" i="20"/>
  <c r="I153" i="20"/>
  <c r="U19" i="20"/>
  <c r="T19" i="20" s="1"/>
  <c r="N75" i="20"/>
  <c r="I104" i="20"/>
  <c r="I15" i="20"/>
  <c r="K25" i="20"/>
  <c r="L33" i="20"/>
  <c r="K104" i="20"/>
  <c r="J15" i="20"/>
  <c r="L25" i="20"/>
  <c r="M33" i="20"/>
  <c r="K15" i="20"/>
  <c r="M25" i="20"/>
  <c r="N33" i="20"/>
  <c r="M104" i="20"/>
  <c r="R15" i="20"/>
  <c r="O33" i="20"/>
  <c r="N104" i="20"/>
  <c r="O25" i="20"/>
  <c r="I66" i="20"/>
  <c r="W48" i="20"/>
  <c r="K66" i="20"/>
  <c r="Q104" i="20"/>
  <c r="R104" i="20"/>
  <c r="J153" i="20"/>
  <c r="P65" i="20" l="1"/>
  <c r="O65" i="20"/>
  <c r="M65" i="20"/>
  <c r="J65" i="20"/>
  <c r="W75" i="20"/>
  <c r="W104" i="20"/>
  <c r="W25" i="20"/>
  <c r="W33" i="20"/>
  <c r="X65" i="20"/>
  <c r="U66" i="20"/>
  <c r="T66" i="20" s="1"/>
  <c r="S65" i="20"/>
  <c r="W66" i="20"/>
  <c r="W15" i="20"/>
  <c r="U104" i="20"/>
  <c r="T104" i="20" s="1"/>
  <c r="K65" i="20"/>
  <c r="R65" i="20"/>
  <c r="U153" i="20"/>
  <c r="T153" i="20" s="1"/>
  <c r="Q65" i="20"/>
  <c r="Z66" i="20"/>
  <c r="Y65" i="20"/>
  <c r="Z65" i="20" s="1"/>
  <c r="U75" i="20"/>
  <c r="T75" i="20" s="1"/>
  <c r="T67" i="20"/>
  <c r="T92" i="20"/>
  <c r="T154" i="20"/>
  <c r="U25" i="20"/>
  <c r="T25" i="20" s="1"/>
  <c r="T133" i="20"/>
  <c r="V65" i="20"/>
  <c r="W65" i="20" s="1"/>
  <c r="U15" i="20"/>
  <c r="T15" i="20" s="1"/>
  <c r="U33" i="20"/>
  <c r="T33" i="20" s="1"/>
  <c r="I65" i="20"/>
  <c r="L65" i="20"/>
  <c r="N65" i="20"/>
  <c r="U65" i="20" l="1"/>
  <c r="T65" i="20" s="1"/>
  <c r="R14" i="20"/>
  <c r="Q14" i="20"/>
  <c r="P14" i="20"/>
  <c r="O14" i="20"/>
  <c r="N14" i="20"/>
  <c r="M14" i="20"/>
  <c r="L14" i="20"/>
  <c r="K14" i="20"/>
  <c r="J14" i="20"/>
  <c r="I14" i="20"/>
  <c r="I3" i="20"/>
  <c r="I4" i="20"/>
  <c r="I5" i="20"/>
  <c r="I6" i="20"/>
  <c r="I7" i="20"/>
  <c r="I8" i="20"/>
  <c r="I9" i="20"/>
  <c r="I10" i="20"/>
  <c r="I11" i="20"/>
  <c r="I12" i="20"/>
  <c r="H15" i="6" l="1"/>
  <c r="I15" i="6"/>
  <c r="J15" i="6"/>
  <c r="K15" i="6"/>
  <c r="L15" i="6"/>
  <c r="M15" i="6"/>
  <c r="N15" i="6"/>
  <c r="O15" i="6"/>
  <c r="P15" i="6"/>
  <c r="H14" i="6"/>
  <c r="I14" i="6"/>
  <c r="J14" i="6"/>
  <c r="K14" i="6"/>
  <c r="L14" i="6"/>
  <c r="M14" i="6"/>
  <c r="N14" i="6"/>
  <c r="O14" i="6"/>
  <c r="P14" i="6"/>
  <c r="H13" i="6"/>
  <c r="I13" i="6"/>
  <c r="J13" i="6"/>
  <c r="K13" i="6"/>
  <c r="L13" i="6"/>
  <c r="M13" i="6"/>
  <c r="N13" i="6"/>
  <c r="O13" i="6"/>
  <c r="P13" i="6"/>
  <c r="H12" i="6"/>
  <c r="I12" i="6"/>
  <c r="J12" i="6"/>
  <c r="K12" i="6"/>
  <c r="L12" i="6"/>
  <c r="M12" i="6"/>
  <c r="N12" i="6"/>
  <c r="O12" i="6"/>
  <c r="P12" i="6"/>
  <c r="H11" i="6"/>
  <c r="I11" i="6"/>
  <c r="J11" i="6"/>
  <c r="K11" i="6"/>
  <c r="L11" i="6"/>
  <c r="M11" i="6"/>
  <c r="N11" i="6"/>
  <c r="O11" i="6"/>
  <c r="P11" i="6"/>
  <c r="H10" i="6"/>
  <c r="I10" i="6"/>
  <c r="J10" i="6"/>
  <c r="K10" i="6"/>
  <c r="L10" i="6"/>
  <c r="M10" i="6"/>
  <c r="N10" i="6"/>
  <c r="O10" i="6"/>
  <c r="P10" i="6"/>
  <c r="H9" i="6"/>
  <c r="I9" i="6"/>
  <c r="J9" i="6"/>
  <c r="K9" i="6"/>
  <c r="L9" i="6"/>
  <c r="M9" i="6"/>
  <c r="N9" i="6"/>
  <c r="O9" i="6"/>
  <c r="P9" i="6"/>
  <c r="I7" i="6"/>
  <c r="J7" i="6"/>
  <c r="K7" i="6"/>
  <c r="L7" i="6"/>
  <c r="M7" i="6"/>
  <c r="N7" i="6"/>
  <c r="O7" i="6"/>
  <c r="P7" i="6"/>
  <c r="P5" i="6"/>
  <c r="P6" i="6"/>
  <c r="O5" i="6"/>
  <c r="O6" i="6"/>
  <c r="N5" i="6"/>
  <c r="N6" i="6"/>
  <c r="M5" i="6"/>
  <c r="M6" i="6"/>
  <c r="L5" i="6"/>
  <c r="L6" i="6"/>
  <c r="K5" i="6"/>
  <c r="K6" i="6"/>
  <c r="J5" i="6"/>
  <c r="J6" i="6"/>
  <c r="I5" i="6"/>
  <c r="I6" i="6"/>
  <c r="H5" i="6"/>
  <c r="H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tc={E12EEDEE-C0F6-42EE-8F25-BDFE7324772A}</author>
    <author>tc={53B78AFF-7836-479E-AC41-07619A6CD656}</author>
  </authors>
  <commentList>
    <comment ref="G89" authorId="0" shapeId="0" xr:uid="{E12EEDEE-C0F6-42EE-8F25-BDFE7324772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On-Prem -&gt; Cloud 로 SSIS 소스 변경하고 스케쥴링 잘 돌아가는지 확인 (w/ Paras - IBM Team CORIA 담당자)</t>
      </text>
    </comment>
    <comment ref="G95" authorId="1" shapeId="0" xr:uid="{53B78AFF-7836-479E-AC41-07619A6CD65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On-Prem -&gt; Cloud 로 SSIS 소스 변경하고 스케쥴링 잘 돌아가는지 확인 (w/ Paras - IBM Team CORIA 담당자)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053B28-CF5C-40C8-AFC3-75C5416CB966}" keepAlive="1" name="ModelConnection_ExternalData_1" description="데이터 모델" type="5" refreshedVersion="8" minRefreshableVersion="5" saveData="1">
    <dbPr connection="Data Model Connection" command="Table_전체직원목록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91B63A2-5CEA-4139-87CA-3958FDCD7F52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9AC1CA1C-679B-48FD-86F8-55EE1A8F043C}" keepAlive="1" name="쿼리 - Table_CalendarHD" description="통합 문서의 'Table_CalendarHD' 쿼리에 대한 연결입니다." type="5" refreshedVersion="8" background="1" saveData="1">
    <dbPr connection="Provider=Microsoft.Mashup.OleDb.1;Data Source=$Workbook$;Location=Table_CalendarHD;Extended Properties=&quot;&quot;" command="SELECT * FROM [Table_CalendarHD]"/>
  </connection>
  <connection id="4" xr16:uid="{67C5257A-26ED-4D36-870D-E6CD26C5129F}" keepAlive="1" name="쿼리 - Table_CalendarTotal" description="통합 문서의 'Table_CalendarTotal' 쿼리에 대한 연결입니다." type="5" refreshedVersion="8" background="1" saveData="1">
    <dbPr connection="Provider=Microsoft.Mashup.OleDb.1;Data Source=$Workbook$;Location=Table_CalendarTotal;Extended Properties=&quot;&quot;" command="SELECT * FROM [Table_CalendarTotal]"/>
  </connection>
  <connection id="5" xr16:uid="{83D8A516-3F73-4F27-BF34-D18E8F131AE0}" keepAlive="1" name="쿼리 - Table_CalendarWD" description="통합 문서의 'Table_CalendarWD' 쿼리에 대한 연결입니다." type="5" refreshedVersion="8" background="1" saveData="1">
    <dbPr connection="Provider=Microsoft.Mashup.OleDb.1;Data Source=$Workbook$;Location=Table_CalendarWD;Extended Properties=&quot;&quot;" command="SELECT * FROM [Table_CalendarWD]"/>
  </connection>
  <connection id="6" xr16:uid="{F9BDFC3D-CC44-430F-A8EE-D06AED6776C9}" name="쿼리 - Table_전체직원목록" description="통합 문서의 'Table_전체직원목록' 쿼리에 대한 연결입니다." type="100" refreshedVersion="8" minRefreshableVersion="5">
    <extLst>
      <ext xmlns:x15="http://schemas.microsoft.com/office/spreadsheetml/2010/11/main" uri="{DE250136-89BD-433C-8126-D09CA5730AF9}">
        <x15:connection id="137ebe59-57a3-45fb-8a43-8df02751ca28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<sst xmlns="http://schemas.openxmlformats.org/spreadsheetml/2006/main" count="3696" uniqueCount="1003">
  <si>
    <t>Project WBS Schedule Manamgement</t>
    <phoneticPr fontId="1" type="noConversion"/>
  </si>
  <si>
    <t/>
  </si>
  <si>
    <t>1.  Project Information Management</t>
    <phoneticPr fontId="1" type="noConversion"/>
  </si>
  <si>
    <t>2.  Project Task Force Team List (Customer)</t>
    <phoneticPr fontId="1" type="noConversion"/>
  </si>
  <si>
    <t>3.  Project Task Force Team List (Developer)</t>
    <phoneticPr fontId="1" type="noConversion"/>
  </si>
  <si>
    <t>4.  Project WBS(Work Breakdown Structure) Schedule</t>
    <phoneticPr fontId="1" type="noConversion"/>
  </si>
  <si>
    <t>Project Calendar Total</t>
    <phoneticPr fontId="1" type="noConversion"/>
  </si>
  <si>
    <t>프로젝트일자</t>
  </si>
  <si>
    <t>수행일자</t>
  </si>
  <si>
    <t>요일</t>
  </si>
  <si>
    <t>휴일정보</t>
  </si>
  <si>
    <t>수행주차</t>
  </si>
  <si>
    <t>06/12 (월)</t>
  </si>
  <si>
    <t>월</t>
  </si>
  <si>
    <t>1주차</t>
  </si>
  <si>
    <t>06/13 (화)</t>
  </si>
  <si>
    <t>화</t>
  </si>
  <si>
    <t>06/14 (수)</t>
  </si>
  <si>
    <t>수</t>
  </si>
  <si>
    <t>06/15 (목)</t>
  </si>
  <si>
    <t>목</t>
  </si>
  <si>
    <t>06/16 (금)</t>
  </si>
  <si>
    <t>금</t>
  </si>
  <si>
    <t>06/17 (토)</t>
  </si>
  <si>
    <t>토</t>
  </si>
  <si>
    <t>토요일</t>
  </si>
  <si>
    <t>06/18 (일)</t>
  </si>
  <si>
    <t>일</t>
  </si>
  <si>
    <t>일요일</t>
  </si>
  <si>
    <t>2주차</t>
  </si>
  <si>
    <t>06/19 (월)</t>
  </si>
  <si>
    <t>06/20 (화)</t>
  </si>
  <si>
    <t>06/21 (수)</t>
  </si>
  <si>
    <t>06/22 (목)</t>
  </si>
  <si>
    <t>06/23 (금)</t>
  </si>
  <si>
    <t>06/24 (토)</t>
  </si>
  <si>
    <t>06/25 (일)</t>
  </si>
  <si>
    <t>3주차</t>
  </si>
  <si>
    <t>06/26 (월)</t>
  </si>
  <si>
    <t>06/27 (화)</t>
  </si>
  <si>
    <t>06/28 (수)</t>
  </si>
  <si>
    <t>06/29 (목)</t>
  </si>
  <si>
    <t>06/30 (금)</t>
  </si>
  <si>
    <t>07/01 (토)</t>
  </si>
  <si>
    <t>07/02 (일)</t>
  </si>
  <si>
    <t>4주차</t>
  </si>
  <si>
    <t>07/03 (월)</t>
  </si>
  <si>
    <t>07/04 (화)</t>
  </si>
  <si>
    <t>07/05 (수)</t>
  </si>
  <si>
    <t>07/06 (목)</t>
  </si>
  <si>
    <t>07/07 (금)</t>
  </si>
  <si>
    <t>07/08 (토)</t>
  </si>
  <si>
    <t>07/09 (일)</t>
  </si>
  <si>
    <t>5주차</t>
  </si>
  <si>
    <t>07/10 (월)</t>
  </si>
  <si>
    <t>07/11 (화)</t>
  </si>
  <si>
    <t>07/12 (수)</t>
  </si>
  <si>
    <t>07/13 (목)</t>
  </si>
  <si>
    <t>07/14 (금)</t>
  </si>
  <si>
    <t>07/15 (토)</t>
  </si>
  <si>
    <t>07/16 (일)</t>
  </si>
  <si>
    <t>6주차</t>
  </si>
  <si>
    <t>07/17 (월)</t>
  </si>
  <si>
    <t>07/18 (화)</t>
  </si>
  <si>
    <t>07/19 (수)</t>
  </si>
  <si>
    <t>07/20 (목)</t>
  </si>
  <si>
    <t>07/21 (금)</t>
  </si>
  <si>
    <t>07/22 (토)</t>
  </si>
  <si>
    <t>07/23 (일)</t>
  </si>
  <si>
    <t>7주차</t>
  </si>
  <si>
    <t>07/24 (월)</t>
  </si>
  <si>
    <t>07/25 (화)</t>
  </si>
  <si>
    <t>07/26 (수)</t>
  </si>
  <si>
    <t>07/27 (목)</t>
  </si>
  <si>
    <t>07/28 (금)</t>
  </si>
  <si>
    <t>07/29 (토)</t>
  </si>
  <si>
    <t>07/30 (일)</t>
  </si>
  <si>
    <t>8주차</t>
  </si>
  <si>
    <t>07/31 (월)</t>
  </si>
  <si>
    <t>08/01 (화)</t>
  </si>
  <si>
    <t>08/02 (수)</t>
  </si>
  <si>
    <t>08/03 (목)</t>
  </si>
  <si>
    <t>08/04 (금)</t>
  </si>
  <si>
    <t>08/05 (토)</t>
  </si>
  <si>
    <t>08/06 (일)</t>
  </si>
  <si>
    <t>9주차</t>
  </si>
  <si>
    <t>08/07 (월)</t>
  </si>
  <si>
    <t>08/08 (화)</t>
  </si>
  <si>
    <t>08/09 (수)</t>
  </si>
  <si>
    <t>08/10 (목)</t>
  </si>
  <si>
    <t>08/11 (금)</t>
  </si>
  <si>
    <t>08/12 (토)</t>
  </si>
  <si>
    <t>08/13 (일)</t>
  </si>
  <si>
    <t>10주차</t>
  </si>
  <si>
    <t>08/14 (월)</t>
  </si>
  <si>
    <t>08/15 (화)</t>
  </si>
  <si>
    <t>광복절</t>
  </si>
  <si>
    <t>08/16 (수)</t>
  </si>
  <si>
    <t>08/17 (목)</t>
  </si>
  <si>
    <t>08/18 (금)</t>
  </si>
  <si>
    <t>08/19 (토)</t>
  </si>
  <si>
    <t>08/20 (일)</t>
  </si>
  <si>
    <t>11주차</t>
  </si>
  <si>
    <t>08/21 (월)</t>
  </si>
  <si>
    <t>08/22 (화)</t>
  </si>
  <si>
    <t>08/23 (수)</t>
  </si>
  <si>
    <t>08/24 (목)</t>
  </si>
  <si>
    <t>08/25 (금)</t>
  </si>
  <si>
    <t>08/26 (토)</t>
  </si>
  <si>
    <t>08/27 (일)</t>
  </si>
  <si>
    <t>12주차</t>
  </si>
  <si>
    <t>08/28 (월)</t>
  </si>
  <si>
    <t>08/29 (화)</t>
  </si>
  <si>
    <t>08/30 (수)</t>
  </si>
  <si>
    <t>08/31 (목)</t>
  </si>
  <si>
    <t>09/01 (금)</t>
  </si>
  <si>
    <t>09/02 (토)</t>
  </si>
  <si>
    <t>09/03 (일)</t>
  </si>
  <si>
    <t>13주차</t>
  </si>
  <si>
    <t>09/04 (월)</t>
  </si>
  <si>
    <t>09/05 (화)</t>
  </si>
  <si>
    <t>09/06 (수)</t>
  </si>
  <si>
    <t>09/07 (목)</t>
  </si>
  <si>
    <t>09/08 (금)</t>
  </si>
  <si>
    <t>09/09 (토)</t>
  </si>
  <si>
    <t>09/10 (일)</t>
  </si>
  <si>
    <t>14주차</t>
  </si>
  <si>
    <t>09/11 (월)</t>
  </si>
  <si>
    <t>09/12 (화)</t>
  </si>
  <si>
    <t>09/13 (수)</t>
  </si>
  <si>
    <t>09/14 (목)</t>
  </si>
  <si>
    <t>09/15 (금)</t>
  </si>
  <si>
    <t>09/16 (토)</t>
  </si>
  <si>
    <t>09/17 (일)</t>
  </si>
  <si>
    <t>15주차</t>
  </si>
  <si>
    <t>09/18 (월)</t>
  </si>
  <si>
    <t>09/19 (화)</t>
  </si>
  <si>
    <t>09/20 (수)</t>
  </si>
  <si>
    <t>09/21 (목)</t>
  </si>
  <si>
    <t>09/22 (금)</t>
  </si>
  <si>
    <t>09/23 (토)</t>
  </si>
  <si>
    <t>09/24 (일)</t>
  </si>
  <si>
    <t>16주차</t>
  </si>
  <si>
    <t>09/25 (월)</t>
  </si>
  <si>
    <t>09/26 (화)</t>
  </si>
  <si>
    <t>09/27 (수)</t>
  </si>
  <si>
    <t>09/28 (목)</t>
  </si>
  <si>
    <t>추석</t>
  </si>
  <si>
    <t>09/29 (금)</t>
  </si>
  <si>
    <t>09/30 (토)</t>
  </si>
  <si>
    <t>10/01 (일)</t>
  </si>
  <si>
    <t>17주차</t>
  </si>
  <si>
    <t>10/02 (월)</t>
  </si>
  <si>
    <t>10/03 (화)</t>
  </si>
  <si>
    <t>개천절</t>
  </si>
  <si>
    <t>10/04 (수)</t>
  </si>
  <si>
    <t>10/05 (목)</t>
  </si>
  <si>
    <t>10/06 (금)</t>
  </si>
  <si>
    <t>10/07 (토)</t>
  </si>
  <si>
    <t>10/08 (일)</t>
  </si>
  <si>
    <t>18주차</t>
  </si>
  <si>
    <t>10/09 (월)</t>
  </si>
  <si>
    <t>한글날</t>
  </si>
  <si>
    <t>10/10 (화)</t>
  </si>
  <si>
    <t>10/11 (수)</t>
  </si>
  <si>
    <t>10/12 (목)</t>
  </si>
  <si>
    <t>10/13 (금)</t>
  </si>
  <si>
    <t>10/14 (토)</t>
  </si>
  <si>
    <t>10/15 (일)</t>
  </si>
  <si>
    <t>19주차</t>
  </si>
  <si>
    <t>10/16 (월)</t>
  </si>
  <si>
    <t>10/17 (화)</t>
  </si>
  <si>
    <t>10/18 (수)</t>
  </si>
  <si>
    <t>10/19 (목)</t>
  </si>
  <si>
    <t>10/20 (금)</t>
  </si>
  <si>
    <t>10/21 (토)</t>
  </si>
  <si>
    <t>10/22 (일)</t>
  </si>
  <si>
    <t>20주차</t>
  </si>
  <si>
    <t>10/23 (월)</t>
  </si>
  <si>
    <t>10/24 (화)</t>
  </si>
  <si>
    <t>10/25 (수)</t>
  </si>
  <si>
    <t>10/26 (목)</t>
  </si>
  <si>
    <t>10/27 (금)</t>
  </si>
  <si>
    <t>10/28 (토)</t>
  </si>
  <si>
    <t>10/29 (일)</t>
  </si>
  <si>
    <t>21주차</t>
  </si>
  <si>
    <t>10/30 (월)</t>
  </si>
  <si>
    <t>10/31 (화)</t>
  </si>
  <si>
    <t>11/01 (수)</t>
  </si>
  <si>
    <t>11/02 (목)</t>
  </si>
  <si>
    <t>11/03 (금)</t>
  </si>
  <si>
    <t>11/04 (토)</t>
  </si>
  <si>
    <t>11/05 (일)</t>
  </si>
  <si>
    <t>22주차</t>
  </si>
  <si>
    <t>11/06 (월)</t>
  </si>
  <si>
    <t>11/07 (화)</t>
  </si>
  <si>
    <t>11/08 (수)</t>
  </si>
  <si>
    <t>11/09 (목)</t>
  </si>
  <si>
    <t>11/10 (금)</t>
  </si>
  <si>
    <t>11/11 (토)</t>
  </si>
  <si>
    <t>11/12 (일)</t>
  </si>
  <si>
    <t>23주차</t>
  </si>
  <si>
    <t>11/13 (월)</t>
  </si>
  <si>
    <t>11/14 (화)</t>
  </si>
  <si>
    <t>11/15 (수)</t>
  </si>
  <si>
    <t>11/16 (목)</t>
  </si>
  <si>
    <t>11/17 (금)</t>
  </si>
  <si>
    <t>Project Calendar Holiday</t>
    <phoneticPr fontId="1" type="noConversion"/>
  </si>
  <si>
    <t>Project Calendar Working Day</t>
    <phoneticPr fontId="1" type="noConversion"/>
  </si>
  <si>
    <t>Project Information Management</t>
    <phoneticPr fontId="1" type="noConversion"/>
  </si>
  <si>
    <t>프로젝트_명칭</t>
    <phoneticPr fontId="1" type="noConversion"/>
  </si>
  <si>
    <t>프로젝트_유형</t>
    <phoneticPr fontId="1" type="noConversion"/>
  </si>
  <si>
    <t>프로젝트_상주여부</t>
    <phoneticPr fontId="1" type="noConversion"/>
  </si>
  <si>
    <t>프로젝트_시작일자</t>
    <phoneticPr fontId="1" type="noConversion"/>
  </si>
  <si>
    <t>프로젝트_종료일자</t>
    <phoneticPr fontId="1" type="noConversion"/>
  </si>
  <si>
    <t>발주사_회사명</t>
    <phoneticPr fontId="1" type="noConversion"/>
  </si>
  <si>
    <t>발주사_업종</t>
    <phoneticPr fontId="1" type="noConversion"/>
  </si>
  <si>
    <t>발주사_대표자명</t>
    <phoneticPr fontId="1" type="noConversion"/>
  </si>
  <si>
    <t>발주사_주소</t>
    <phoneticPr fontId="1" type="noConversion"/>
  </si>
  <si>
    <t>주관사_회사명</t>
    <phoneticPr fontId="1" type="noConversion"/>
  </si>
  <si>
    <t>주관사_업종</t>
    <phoneticPr fontId="1" type="noConversion"/>
  </si>
  <si>
    <t>주관사_대표자명</t>
    <phoneticPr fontId="1" type="noConversion"/>
  </si>
  <si>
    <t>주관사_주소</t>
    <phoneticPr fontId="1" type="noConversion"/>
  </si>
  <si>
    <t>PMKR Commercial On-Premise Server Cloud Migration 프로젝트</t>
    <phoneticPr fontId="1" type="noConversion"/>
  </si>
  <si>
    <t>프로젝트</t>
    <phoneticPr fontId="1" type="noConversion"/>
  </si>
  <si>
    <t>상주</t>
    <phoneticPr fontId="1" type="noConversion"/>
  </si>
  <si>
    <t>2023-06-12</t>
    <phoneticPr fontId="1" type="noConversion"/>
  </si>
  <si>
    <t>한국필립모리스(주)</t>
    <phoneticPr fontId="1" type="noConversion"/>
  </si>
  <si>
    <t>제조</t>
    <phoneticPr fontId="1" type="noConversion"/>
  </si>
  <si>
    <t>윤희경</t>
    <phoneticPr fontId="1" type="noConversion"/>
  </si>
  <si>
    <t>서울특별시 영등포구 국제금융로 10 One IFC 25층</t>
    <phoneticPr fontId="1" type="noConversion"/>
  </si>
  <si>
    <t>Project (Customer) Task Force Team List</t>
    <phoneticPr fontId="1" type="noConversion"/>
  </si>
  <si>
    <t>No.</t>
  </si>
  <si>
    <t>TFT_역할</t>
    <phoneticPr fontId="1" type="noConversion"/>
  </si>
  <si>
    <t>회사명</t>
  </si>
  <si>
    <t>부서명</t>
  </si>
  <si>
    <t>성명</t>
  </si>
  <si>
    <t>직위명</t>
  </si>
  <si>
    <t>메일주소</t>
  </si>
  <si>
    <t>휴대전화</t>
  </si>
  <si>
    <t>담당업무</t>
  </si>
  <si>
    <t>비고</t>
  </si>
  <si>
    <t>PM</t>
    <phoneticPr fontId="1" type="noConversion"/>
  </si>
  <si>
    <t>한국필립모리스㈜</t>
    <phoneticPr fontId="1" type="noConversion"/>
  </si>
  <si>
    <t>IT Analyst Consumer Platform-B2B&amp;CC</t>
  </si>
  <si>
    <t>김명수(Michael)</t>
    <phoneticPr fontId="1" type="noConversion"/>
  </si>
  <si>
    <t>차장/팀장</t>
    <phoneticPr fontId="1" type="noConversion"/>
  </si>
  <si>
    <t>michael.kim@pmi.com</t>
    <phoneticPr fontId="1" type="noConversion"/>
  </si>
  <si>
    <t>010-3240-0985</t>
    <phoneticPr fontId="1" type="noConversion"/>
  </si>
  <si>
    <t>주간보고 선택 참석자</t>
    <phoneticPr fontId="1" type="noConversion"/>
  </si>
  <si>
    <t>PL</t>
    <phoneticPr fontId="1" type="noConversion"/>
  </si>
  <si>
    <t>IT Analyst Consumer Platform-B2B&amp;CC</t>
    <phoneticPr fontId="1" type="noConversion"/>
  </si>
  <si>
    <t>홍동우(Tyler)</t>
    <phoneticPr fontId="1" type="noConversion"/>
  </si>
  <si>
    <t>과장/팀원</t>
    <phoneticPr fontId="1" type="noConversion"/>
  </si>
  <si>
    <t>Tyler.Hong@pmi.com</t>
    <phoneticPr fontId="1" type="noConversion"/>
  </si>
  <si>
    <t>010-3138-4406</t>
    <phoneticPr fontId="1" type="noConversion"/>
  </si>
  <si>
    <t>주간보고 필수 참석자</t>
    <phoneticPr fontId="1" type="noConversion"/>
  </si>
  <si>
    <t>Commercial System Executive</t>
    <phoneticPr fontId="1" type="noConversion"/>
  </si>
  <si>
    <t>허우성(Ethan)</t>
    <phoneticPr fontId="1" type="noConversion"/>
  </si>
  <si>
    <t>Ethan.Heo@pmi.com</t>
    <phoneticPr fontId="1" type="noConversion"/>
  </si>
  <si>
    <t>010-5798-0808</t>
    <phoneticPr fontId="1" type="noConversion"/>
  </si>
  <si>
    <t>Ellen.Lim@pmi.com</t>
    <phoneticPr fontId="1" type="noConversion"/>
  </si>
  <si>
    <t>Manager Commercial Systems</t>
    <phoneticPr fontId="1" type="noConversion"/>
  </si>
  <si>
    <t>박정호</t>
    <phoneticPr fontId="1" type="noConversion"/>
  </si>
  <si>
    <t>JungHo.Park@pmi.com</t>
    <phoneticPr fontId="1" type="noConversion"/>
  </si>
  <si>
    <t>010-6889-4185</t>
    <phoneticPr fontId="1" type="noConversion"/>
  </si>
  <si>
    <t>주간보고 선택 참석자</t>
  </si>
  <si>
    <t>한국필립모리스㈜</t>
  </si>
  <si>
    <t>Eric.Paeng@pmi.com</t>
    <phoneticPr fontId="1" type="noConversion"/>
  </si>
  <si>
    <t>Randy.Yoon@pmi.com</t>
    <phoneticPr fontId="1" type="noConversion"/>
  </si>
  <si>
    <t>HyeWon.Kim@pmi.com</t>
    <phoneticPr fontId="1" type="noConversion"/>
  </si>
  <si>
    <t>3.  엠클라우드브리지 전체직원목록</t>
    <phoneticPr fontId="1" type="noConversion"/>
  </si>
  <si>
    <t>인덱스</t>
  </si>
  <si>
    <t>성명직급</t>
  </si>
  <si>
    <t>팀명</t>
  </si>
  <si>
    <t>성명_영문명</t>
  </si>
  <si>
    <t>성명_국문명</t>
  </si>
  <si>
    <t>직급</t>
  </si>
  <si>
    <t>직책</t>
  </si>
  <si>
    <t>상위관리자명</t>
  </si>
  <si>
    <t>상위관리자_메일주소</t>
  </si>
  <si>
    <t>임경은 차장</t>
  </si>
  <si>
    <t>Grace (임경은)</t>
  </si>
  <si>
    <t>Grace</t>
  </si>
  <si>
    <t>임경은</t>
  </si>
  <si>
    <t>차장</t>
  </si>
  <si>
    <t>팀원</t>
  </si>
  <si>
    <t>grace.yim@mcloudbridge.com</t>
  </si>
  <si>
    <t>김경래 차장</t>
  </si>
  <si>
    <t>Dean (김경래)</t>
  </si>
  <si>
    <t>Dean</t>
  </si>
  <si>
    <t>김경래</t>
  </si>
  <si>
    <t>dean.kim@mcloudbridge.com</t>
  </si>
  <si>
    <t>김종곤 전무</t>
  </si>
  <si>
    <t>Allan (김종곤)</t>
  </si>
  <si>
    <t>Allan</t>
  </si>
  <si>
    <t>김종곤</t>
  </si>
  <si>
    <t>전무</t>
  </si>
  <si>
    <t>allan.kim@mcloudbridge.com</t>
  </si>
  <si>
    <t>김성안 이사</t>
  </si>
  <si>
    <t>Aiden (김성안)</t>
  </si>
  <si>
    <t>Aiden</t>
  </si>
  <si>
    <t>김성안</t>
  </si>
  <si>
    <t>이사</t>
  </si>
  <si>
    <t>aiden.kim@mcloudbridge.com</t>
  </si>
  <si>
    <t>한충희 수석</t>
  </si>
  <si>
    <t>Jason (한충희)</t>
  </si>
  <si>
    <t>Jason</t>
  </si>
  <si>
    <t>한충희</t>
  </si>
  <si>
    <t>수석</t>
  </si>
  <si>
    <t>jason.han@mcloudbridge.com</t>
  </si>
  <si>
    <t>하지훈 수석</t>
  </si>
  <si>
    <t>Kelvin (하지훈)</t>
  </si>
  <si>
    <t>Kelvin</t>
  </si>
  <si>
    <t>하지훈</t>
  </si>
  <si>
    <t>kelvin.ha@mcloudbridge.com</t>
  </si>
  <si>
    <t>장민지 선임</t>
  </si>
  <si>
    <t>Kathy (장민지)</t>
  </si>
  <si>
    <t>Kathy</t>
  </si>
  <si>
    <t>장민지</t>
  </si>
  <si>
    <t>선임</t>
  </si>
  <si>
    <t>kathy.jang@mcloudbridge.com</t>
  </si>
  <si>
    <t>신진욱 선임</t>
  </si>
  <si>
    <t>Theo (신진욱)</t>
  </si>
  <si>
    <t>Theo</t>
  </si>
  <si>
    <t>신진욱</t>
  </si>
  <si>
    <t>theo.shin@mcloudbridge.com</t>
  </si>
  <si>
    <t>오아영 선임</t>
  </si>
  <si>
    <t>Kaylee (오아영)</t>
  </si>
  <si>
    <t>Kaylee</t>
  </si>
  <si>
    <t>오아영</t>
  </si>
  <si>
    <t>kaylee.oh@mcloudbridge.com</t>
  </si>
  <si>
    <t>김병준 선임</t>
  </si>
  <si>
    <t>Max (김병준)</t>
  </si>
  <si>
    <t>Max</t>
  </si>
  <si>
    <t>김병준</t>
  </si>
  <si>
    <t>max.kim@mcloudbridge.com</t>
  </si>
  <si>
    <t>정원호 선임</t>
  </si>
  <si>
    <t>Peter (정원호)</t>
  </si>
  <si>
    <t>Peter</t>
  </si>
  <si>
    <t>정원호</t>
  </si>
  <si>
    <t>peter.jeong@mcloudbridge.com</t>
  </si>
  <si>
    <t>김채영 선임</t>
  </si>
  <si>
    <t>Riley (김채영)</t>
  </si>
  <si>
    <t>Riley</t>
  </si>
  <si>
    <t>김채영</t>
  </si>
  <si>
    <t>riley.kim@mcloudbridge.com</t>
  </si>
  <si>
    <t>박충기 선임</t>
  </si>
  <si>
    <t>Logan (박충기)</t>
  </si>
  <si>
    <t>Logan</t>
  </si>
  <si>
    <t>박충기</t>
  </si>
  <si>
    <t>logan.park@mcloudbridge.com</t>
  </si>
  <si>
    <t>류지선 선임</t>
  </si>
  <si>
    <t>Luna (류지선)</t>
  </si>
  <si>
    <t>Luna</t>
  </si>
  <si>
    <t>류지선</t>
  </si>
  <si>
    <t>luna.ryu@mcloudbridge.com</t>
  </si>
  <si>
    <t>황수빈 선임</t>
  </si>
  <si>
    <t>Gia (황수빈)</t>
  </si>
  <si>
    <t>Gia</t>
  </si>
  <si>
    <t>황수빈</t>
  </si>
  <si>
    <t>gia.hwang@mcloudbridge.com</t>
  </si>
  <si>
    <t>조태희 선임</t>
  </si>
  <si>
    <t>Benson (조태희)</t>
  </si>
  <si>
    <t>Benson</t>
  </si>
  <si>
    <t>조태희</t>
  </si>
  <si>
    <t>benson.jo@mcloudbridge.com</t>
  </si>
  <si>
    <t>김동영 선임</t>
  </si>
  <si>
    <t>Jackson (김동영)</t>
  </si>
  <si>
    <t>Jackson</t>
  </si>
  <si>
    <t>김동영</t>
  </si>
  <si>
    <t>jackson.kim@mcloudbridge.com</t>
  </si>
  <si>
    <t>김강산 선임</t>
  </si>
  <si>
    <t>Brax (김강산)</t>
  </si>
  <si>
    <t>Brax</t>
  </si>
  <si>
    <t>김강산</t>
  </si>
  <si>
    <t>brax.kim@mcloudbridge.com</t>
  </si>
  <si>
    <t>김민선 선임</t>
  </si>
  <si>
    <t>Alan (김민선)</t>
  </si>
  <si>
    <t>Alan</t>
  </si>
  <si>
    <t>김민선</t>
  </si>
  <si>
    <t>alan.kim@mcloudbridge.com</t>
  </si>
  <si>
    <t>주태수 부장</t>
  </si>
  <si>
    <t>Justin (주태수)</t>
  </si>
  <si>
    <t>Justin</t>
  </si>
  <si>
    <t>주태수</t>
  </si>
  <si>
    <t>부장</t>
  </si>
  <si>
    <t>justin.joo@mcloudbridge.com</t>
  </si>
  <si>
    <t>이덕수 부사장</t>
  </si>
  <si>
    <t>Dave (이덕수)</t>
  </si>
  <si>
    <t>Dave</t>
  </si>
  <si>
    <t>이덕수</t>
  </si>
  <si>
    <t>부사장</t>
  </si>
  <si>
    <t>dave.lee@mcloudbridge.com</t>
  </si>
  <si>
    <t>이동림 매니저</t>
  </si>
  <si>
    <t>Donny (이동림)</t>
  </si>
  <si>
    <t>Donny</t>
  </si>
  <si>
    <t>이동림</t>
  </si>
  <si>
    <t>매니저</t>
  </si>
  <si>
    <t>donny.lee@mcloudbridge.com</t>
  </si>
  <si>
    <t>오세진 대리</t>
  </si>
  <si>
    <t>Lucas (오세진)</t>
  </si>
  <si>
    <t>Lucas</t>
  </si>
  <si>
    <t>오세진</t>
  </si>
  <si>
    <t>대리</t>
  </si>
  <si>
    <t>lucas.oh@mcloudbridge.com</t>
  </si>
  <si>
    <t>Uni (송윤희)</t>
  </si>
  <si>
    <t>Uni</t>
  </si>
  <si>
    <t>송윤희</t>
  </si>
  <si>
    <t>uni.song@mcloudbridge.com</t>
  </si>
  <si>
    <t>Jenah (EXT)</t>
  </si>
  <si>
    <t>Jenah</t>
  </si>
  <si>
    <t>EXT</t>
  </si>
  <si>
    <t>jenah.kang@mcloudbridge.com</t>
  </si>
  <si>
    <t>Doni (권태돈)</t>
  </si>
  <si>
    <t>Doni</t>
  </si>
  <si>
    <t>권태돈</t>
  </si>
  <si>
    <t>doni.kwon@mcloudbridge.com</t>
  </si>
  <si>
    <t>김세광 김세광</t>
  </si>
  <si>
    <t>Biz Apps &amp; RPA 팀</t>
  </si>
  <si>
    <t>Kian (김세광)</t>
  </si>
  <si>
    <t>Kian</t>
  </si>
  <si>
    <t>김세광</t>
  </si>
  <si>
    <t>팀장</t>
  </si>
  <si>
    <t>Kian.Kim@mcloudbridge.com</t>
  </si>
  <si>
    <t>Jake (정진우)</t>
  </si>
  <si>
    <t>Jake.Jeong@mcloudbridge.com</t>
  </si>
  <si>
    <t>정지은 선임</t>
  </si>
  <si>
    <t>jay (정지은)</t>
  </si>
  <si>
    <t>jay</t>
  </si>
  <si>
    <t>정지은</t>
  </si>
  <si>
    <t>jay.jeong@mcloudbridge.com</t>
  </si>
  <si>
    <t>James (최남수)</t>
  </si>
  <si>
    <t>James.Choi@mcloudbridge.com</t>
  </si>
  <si>
    <t>고민국 선임</t>
  </si>
  <si>
    <t>River (고민국)</t>
  </si>
  <si>
    <t>River</t>
  </si>
  <si>
    <t>고민국</t>
  </si>
  <si>
    <t>River.Go@mcloudbridge.com</t>
  </si>
  <si>
    <t>최남수 부문장</t>
  </si>
  <si>
    <t>James</t>
  </si>
  <si>
    <t>최남수</t>
  </si>
  <si>
    <t>부문장</t>
  </si>
  <si>
    <t>Henk (이혁재)</t>
  </si>
  <si>
    <t>Henk.Lee@mcloudbridge.com</t>
  </si>
  <si>
    <t>이호현 책임</t>
  </si>
  <si>
    <t>Cloud Infra 팀</t>
  </si>
  <si>
    <t>hogan (이호현)</t>
  </si>
  <si>
    <t>hogan</t>
  </si>
  <si>
    <t>이호현</t>
  </si>
  <si>
    <t>책임</t>
  </si>
  <si>
    <t>hogan.lee@mcloudbridge.com</t>
  </si>
  <si>
    <t>Bernard (이경준)</t>
  </si>
  <si>
    <t>Bernard.Lee@mcloudbridge.com</t>
  </si>
  <si>
    <t>정재현 선임</t>
  </si>
  <si>
    <t>Richard (정재현)</t>
  </si>
  <si>
    <t>Richard</t>
  </si>
  <si>
    <t>정재현</t>
  </si>
  <si>
    <t>Richard.Jeong@mcloudbridge.com</t>
  </si>
  <si>
    <t>이경준 부문장</t>
  </si>
  <si>
    <t>Bernard</t>
  </si>
  <si>
    <t>이경준</t>
  </si>
  <si>
    <t>이수비 책임</t>
  </si>
  <si>
    <t>D365 ERP 팀</t>
  </si>
  <si>
    <t>Anna (이수비)</t>
  </si>
  <si>
    <t>Anna</t>
  </si>
  <si>
    <t>이수비</t>
  </si>
  <si>
    <t>Anna.Lee@mcloudbridge.com</t>
  </si>
  <si>
    <t>Jack (양승모)</t>
  </si>
  <si>
    <t>Jack.Yang@mcloudbridge.com</t>
  </si>
  <si>
    <t>양승모 수석/팀장</t>
  </si>
  <si>
    <t>Jack</t>
  </si>
  <si>
    <t>양승모</t>
  </si>
  <si>
    <t>수석/팀장</t>
  </si>
  <si>
    <t>헤로니코 수석</t>
  </si>
  <si>
    <t>Heroniko (헤로니코)</t>
  </si>
  <si>
    <t>Heroniko</t>
  </si>
  <si>
    <t>헤로니코</t>
  </si>
  <si>
    <t>heroniko.halim@mcloudbridge.com</t>
  </si>
  <si>
    <t>데니 수석</t>
  </si>
  <si>
    <t>Deny (데니)</t>
  </si>
  <si>
    <t>Deny</t>
  </si>
  <si>
    <t>데니</t>
  </si>
  <si>
    <t>deny.saputra@mcloudbridge.com</t>
  </si>
  <si>
    <t>이윤지 책임</t>
  </si>
  <si>
    <t>Data &amp; AI 팀</t>
  </si>
  <si>
    <t>Allison (이윤지)</t>
  </si>
  <si>
    <t>Allison</t>
  </si>
  <si>
    <t>이윤지</t>
  </si>
  <si>
    <t>Allison.Lee@mcloudbridge.com</t>
  </si>
  <si>
    <t>정진우 수석/팀장</t>
  </si>
  <si>
    <t>Jake</t>
  </si>
  <si>
    <t>정진우</t>
  </si>
  <si>
    <t>소채린 선임</t>
  </si>
  <si>
    <t>Lily (소채린)</t>
  </si>
  <si>
    <t>Lily</t>
  </si>
  <si>
    <t>소채린</t>
  </si>
  <si>
    <t>lily.so@mcloudbridge.com</t>
  </si>
  <si>
    <t>손덕기 선임</t>
  </si>
  <si>
    <t>tommy (손덕기)</t>
  </si>
  <si>
    <t>tommy</t>
  </si>
  <si>
    <t>손덕기</t>
  </si>
  <si>
    <t>tommy.son@mcloudbridge.com</t>
  </si>
  <si>
    <t>차연우 선임</t>
  </si>
  <si>
    <t>Reginald (차연우)</t>
  </si>
  <si>
    <t>Reginald</t>
  </si>
  <si>
    <t>차연우</t>
  </si>
  <si>
    <t>reginald.cha@mcloudbridge.com</t>
  </si>
  <si>
    <t>이하늘 선임</t>
  </si>
  <si>
    <t>Sky (이하늘)</t>
  </si>
  <si>
    <t>Sky</t>
  </si>
  <si>
    <t>이하늘</t>
  </si>
  <si>
    <t>sky.lee@mcloudbridge.com</t>
  </si>
  <si>
    <t>최신범 선임</t>
  </si>
  <si>
    <t>Sheon (최신범)</t>
  </si>
  <si>
    <t>Sheon</t>
  </si>
  <si>
    <t>최신범</t>
  </si>
  <si>
    <t>sheon.choi@mcloudbridge.com</t>
  </si>
  <si>
    <t>여정문 선임</t>
  </si>
  <si>
    <t>Jamie (여정문)</t>
  </si>
  <si>
    <t>Jamie</t>
  </si>
  <si>
    <t>여정문</t>
  </si>
  <si>
    <t>jamie.yeo@mcloudbridge.com</t>
  </si>
  <si>
    <t>윤상운 선임</t>
  </si>
  <si>
    <t>Arthur (윤상운)</t>
  </si>
  <si>
    <t>Arthur</t>
  </si>
  <si>
    <t>윤상운</t>
  </si>
  <si>
    <t>arthur.yoon@mcloudbridge.com</t>
  </si>
  <si>
    <t>신유지 선임</t>
  </si>
  <si>
    <t>Allie (신유지)</t>
  </si>
  <si>
    <t>Allie</t>
  </si>
  <si>
    <t>신유지</t>
  </si>
  <si>
    <t>Allie.Shin@mcloudbridge.com</t>
  </si>
  <si>
    <t>최영철 선임</t>
  </si>
  <si>
    <t>Chovy (최영철)</t>
  </si>
  <si>
    <t>Chovy</t>
  </si>
  <si>
    <t>최영철</t>
  </si>
  <si>
    <t>chovy.choi@mcloudbridge.com</t>
  </si>
  <si>
    <t>정민정 선임</t>
  </si>
  <si>
    <t>Ian (정민정)</t>
  </si>
  <si>
    <t>Ian</t>
  </si>
  <si>
    <t>정민정</t>
  </si>
  <si>
    <t>ian.jeong@mcloudbridge.com</t>
  </si>
  <si>
    <t>서현덕 선임</t>
  </si>
  <si>
    <t>Franz (서현덕)</t>
  </si>
  <si>
    <t>Franz</t>
  </si>
  <si>
    <t>서현덕</t>
  </si>
  <si>
    <t>franz.seo@mcloudbridge.com</t>
  </si>
  <si>
    <t>김혜선 부장/팀장</t>
  </si>
  <si>
    <t>경영지원팀</t>
  </si>
  <si>
    <t>Sunny (김혜선)</t>
  </si>
  <si>
    <t>Sunny</t>
  </si>
  <si>
    <t>김혜선</t>
  </si>
  <si>
    <t>부장/팀장</t>
  </si>
  <si>
    <t>Sunny.Kim@mcloudbridge.com</t>
  </si>
  <si>
    <t>서동민 부문장</t>
  </si>
  <si>
    <t>David (서동민)</t>
  </si>
  <si>
    <t>David</t>
  </si>
  <si>
    <t>서동민</t>
  </si>
  <si>
    <t>david.seo@mcloudbridge.com</t>
  </si>
  <si>
    <t>이민선 과장</t>
  </si>
  <si>
    <t>Lara (이민선)</t>
  </si>
  <si>
    <t>Lara</t>
  </si>
  <si>
    <t>이민선</t>
  </si>
  <si>
    <t>과장</t>
  </si>
  <si>
    <t>lara.lee@mcloudbridge.com</t>
  </si>
  <si>
    <t>임주혁 차장/팀장</t>
  </si>
  <si>
    <t>교육사업팀</t>
  </si>
  <si>
    <t>Kelly (임주혁)</t>
  </si>
  <si>
    <t>Kelly</t>
  </si>
  <si>
    <t>임주혁</t>
  </si>
  <si>
    <t>차장/팀장</t>
  </si>
  <si>
    <t>Kelly.Im@mcloudbridge.com</t>
  </si>
  <si>
    <t>이혁재 대표이사</t>
  </si>
  <si>
    <t>대표이사</t>
  </si>
  <si>
    <t>Henk</t>
  </si>
  <si>
    <t>이혁재</t>
  </si>
  <si>
    <t>김혜림 부장/팀장</t>
  </si>
  <si>
    <t>마케팅팀</t>
  </si>
  <si>
    <t>Hera (김혜림)</t>
  </si>
  <si>
    <t>Hera</t>
  </si>
  <si>
    <t>김혜림</t>
  </si>
  <si>
    <t>Hera.Kim@mcloudbridge.com</t>
  </si>
  <si>
    <t>손정민 대리</t>
  </si>
  <si>
    <t>Jane (손정민)</t>
  </si>
  <si>
    <t>Jane</t>
  </si>
  <si>
    <t>손정민</t>
  </si>
  <si>
    <t>jane.son@mcloudbridge.com</t>
  </si>
  <si>
    <t>박지연 과장</t>
  </si>
  <si>
    <t>Joy (박지연)</t>
  </si>
  <si>
    <t>Joy</t>
  </si>
  <si>
    <t>박지연</t>
  </si>
  <si>
    <t>joy.park@mcloudbridge.com</t>
  </si>
  <si>
    <t>원선영 사원</t>
  </si>
  <si>
    <t>솔루션세일즈팀</t>
  </si>
  <si>
    <t>Angela (원선영)</t>
  </si>
  <si>
    <t>Angela</t>
  </si>
  <si>
    <t>원선영</t>
  </si>
  <si>
    <t>사원</t>
  </si>
  <si>
    <t>Angela.Won@mcloudbridge.com</t>
  </si>
  <si>
    <t>Kevin (정찬웅)</t>
  </si>
  <si>
    <t>Kevin.Chung@mcloudbridge.com</t>
  </si>
  <si>
    <t>정찬웅 부문장</t>
  </si>
  <si>
    <t>Kevin</t>
  </si>
  <si>
    <t>정찬웅</t>
  </si>
  <si>
    <t>김규민 매니저</t>
  </si>
  <si>
    <t>Ryan (김규민)</t>
  </si>
  <si>
    <t>Ryan</t>
  </si>
  <si>
    <t>김규민</t>
  </si>
  <si>
    <t>Ryan.Kim@mcloudbridge.com</t>
  </si>
  <si>
    <t>박시은 차장/팀장</t>
  </si>
  <si>
    <t>인재혁신팀</t>
  </si>
  <si>
    <t>Olivia (박시은)</t>
  </si>
  <si>
    <t>Olivia</t>
  </si>
  <si>
    <t>박시은</t>
  </si>
  <si>
    <t>Olivia.Park@mcloudbridge.com</t>
  </si>
  <si>
    <t>3.  Project Task Force Team (Developer) List</t>
    <phoneticPr fontId="1" type="noConversion"/>
  </si>
  <si>
    <t>개발자_성명</t>
    <phoneticPr fontId="1" type="noConversion"/>
  </si>
  <si>
    <t>개발자_프로젝트역할</t>
    <phoneticPr fontId="1" type="noConversion"/>
  </si>
  <si>
    <t>개발자_개발역할</t>
    <phoneticPr fontId="1" type="noConversion"/>
  </si>
  <si>
    <t>개발자_상주여부</t>
    <phoneticPr fontId="1" type="noConversion"/>
  </si>
  <si>
    <t>개발자_투입일자</t>
    <phoneticPr fontId="1" type="noConversion"/>
  </si>
  <si>
    <t>개발자_종료일자</t>
    <phoneticPr fontId="1" type="noConversion"/>
  </si>
  <si>
    <t>정진우 수석</t>
    <phoneticPr fontId="1" type="noConversion"/>
  </si>
  <si>
    <t>PM/Developer</t>
    <phoneticPr fontId="1" type="noConversion"/>
  </si>
  <si>
    <t>Data Modeler</t>
    <phoneticPr fontId="1" type="noConversion"/>
  </si>
  <si>
    <t>비상주</t>
    <phoneticPr fontId="1" type="noConversion"/>
  </si>
  <si>
    <t>2023-10-13</t>
    <phoneticPr fontId="1" type="noConversion"/>
  </si>
  <si>
    <t>신유지 선임</t>
    <phoneticPr fontId="1" type="noConversion"/>
  </si>
  <si>
    <t>PL/Developer</t>
    <phoneticPr fontId="1" type="noConversion"/>
  </si>
  <si>
    <t>김병준 선임</t>
    <phoneticPr fontId="1" type="noConversion"/>
  </si>
  <si>
    <t>WK/Developer</t>
    <phoneticPr fontId="1" type="noConversion"/>
  </si>
  <si>
    <t>정민정 선임</t>
    <phoneticPr fontId="1" type="noConversion"/>
  </si>
  <si>
    <t>2023-09-11</t>
    <phoneticPr fontId="1" type="noConversion"/>
  </si>
  <si>
    <t>Project Work Breakdown Structure</t>
    <phoneticPr fontId="1" type="noConversion"/>
  </si>
  <si>
    <t>Project Task</t>
    <phoneticPr fontId="1" type="noConversion"/>
  </si>
  <si>
    <t>Project Developer</t>
    <phoneticPr fontId="1" type="noConversion"/>
  </si>
  <si>
    <t>Plan</t>
    <phoneticPr fontId="1" type="noConversion"/>
  </si>
  <si>
    <t>Actual</t>
    <phoneticPr fontId="1" type="noConversion"/>
  </si>
  <si>
    <t>ProgressStatus</t>
    <phoneticPr fontId="1" type="noConversion"/>
  </si>
  <si>
    <t>Level</t>
    <phoneticPr fontId="1" type="noConversion"/>
  </si>
  <si>
    <t>LastLv</t>
    <phoneticPr fontId="1" type="noConversion"/>
  </si>
  <si>
    <t>L1</t>
    <phoneticPr fontId="1" type="noConversion"/>
  </si>
  <si>
    <t>L2</t>
    <phoneticPr fontId="1" type="noConversion"/>
  </si>
  <si>
    <t>L3</t>
    <phoneticPr fontId="1" type="noConversion"/>
  </si>
  <si>
    <t>L4</t>
    <phoneticPr fontId="1" type="noConversion"/>
  </si>
  <si>
    <t>L5</t>
    <phoneticPr fontId="1" type="noConversion"/>
  </si>
  <si>
    <t>P.StartDate</t>
    <phoneticPr fontId="1" type="noConversion"/>
  </si>
  <si>
    <t>P.Period</t>
    <phoneticPr fontId="1" type="noConversion"/>
  </si>
  <si>
    <t>P.EndDate</t>
    <phoneticPr fontId="1" type="noConversion"/>
  </si>
  <si>
    <t>A.StartDate</t>
    <phoneticPr fontId="1" type="noConversion"/>
  </si>
  <si>
    <t>A.Period</t>
    <phoneticPr fontId="1" type="noConversion"/>
  </si>
  <si>
    <t>A.EndDate</t>
    <phoneticPr fontId="1" type="noConversion"/>
  </si>
  <si>
    <t>Percentage</t>
    <phoneticPr fontId="1" type="noConversion"/>
  </si>
  <si>
    <t>Status</t>
    <phoneticPr fontId="1" type="noConversion"/>
  </si>
  <si>
    <t>N</t>
  </si>
  <si>
    <t>1. 프로젝트 착수 및 환경 분석</t>
  </si>
  <si>
    <t>1-1. 프로젝트 착수 보고</t>
  </si>
  <si>
    <t>Y</t>
  </si>
  <si>
    <t>1-1-1. 프로젝트 TFT 구성 투입</t>
  </si>
  <si>
    <t>●</t>
  </si>
  <si>
    <t>1-1-2. 프로젝트 착수 보고 진행</t>
  </si>
  <si>
    <t>1-2. 프로젝트 환경 구성</t>
  </si>
  <si>
    <t>1-2-1. 프로젝트 상주 환경 설정</t>
  </si>
  <si>
    <t>1-2-2. 프로젝트 개발 도구 점검</t>
  </si>
  <si>
    <t>1-3. 프로젝트 As-Is 분석</t>
  </si>
  <si>
    <t>1-3-1. (As-Is) 프로젝트 산출물 분석</t>
  </si>
  <si>
    <t>1-3-2. Data Flow Architecture 분석</t>
  </si>
  <si>
    <t>2. (Front-End) BI 화면 기획</t>
  </si>
  <si>
    <t>2-1. BI 개발요청서 분석</t>
  </si>
  <si>
    <t>2-1-1. 상세 컨텐츠 요구사항 분석</t>
  </si>
  <si>
    <t>2-1-2. 상세 컨텐츠 Source Data 정리</t>
  </si>
  <si>
    <t>2-2. BI 개발설계서 작성</t>
  </si>
  <si>
    <t>2-2-1. BI Screen Layout Format 구성</t>
  </si>
  <si>
    <t>2-2-2. BI 톤앤매너(컬러 팔레트) 구성</t>
  </si>
  <si>
    <t>2-2-3. BI Proto-Type 개발</t>
  </si>
  <si>
    <t>3. Data Warehouse 구축 모델링</t>
  </si>
  <si>
    <t>3-1. 시스템별 Source Data 데이터 정리 협의</t>
  </si>
  <si>
    <t>3-1-1. SAP 시스템</t>
  </si>
  <si>
    <t>3-1-2. SFE 시스템</t>
  </si>
  <si>
    <t>3-1-3. 외부데이터</t>
  </si>
  <si>
    <t>3-1-4. Open API</t>
  </si>
  <si>
    <t>3-1-5. Azure AD</t>
  </si>
  <si>
    <t>3-1-6. 기타 시스템</t>
  </si>
  <si>
    <t>3-2. DW Target Table 생성</t>
  </si>
  <si>
    <t>3-2-1. SAP 시스템</t>
  </si>
  <si>
    <t>3-2-2. SFE 시스템</t>
  </si>
  <si>
    <t>3-2-3. 외부데이터</t>
  </si>
  <si>
    <t>3-2-4. Open API</t>
  </si>
  <si>
    <t>3-2-5. Azure AD</t>
  </si>
  <si>
    <t>3-2-6. 기타 시스템</t>
  </si>
  <si>
    <t>3-3. ETL 파이프라인 개발 &amp; 디버그</t>
  </si>
  <si>
    <t>3-3-1. SAP 시스템</t>
  </si>
  <si>
    <t>3-3-2. SFE 시스템</t>
  </si>
  <si>
    <t>3-3-3. 외부데이터</t>
  </si>
  <si>
    <t>3-3-4. Open API</t>
  </si>
  <si>
    <t>3-3-5. Azure AD</t>
  </si>
  <si>
    <t>3-3-6. 기타 시스템</t>
  </si>
  <si>
    <t>3-4. 통합 데이터 처리 및 데이터 표준화</t>
  </si>
  <si>
    <t>3-4-1. 통합 Dimension 처리 작업</t>
  </si>
  <si>
    <t>3-4-2. Fact 기준 Rollup &amp; Summary 작업 고도화</t>
  </si>
  <si>
    <t>3-5. Data Recurrence Batch Job 설정</t>
  </si>
  <si>
    <t>3-5-1. SAP 시스템</t>
  </si>
  <si>
    <t>3-5-2. SFE 시스템</t>
  </si>
  <si>
    <t>3-5-3. 외부데이터</t>
  </si>
  <si>
    <t>3-5-4. Open API</t>
  </si>
  <si>
    <t>3-5-5. Azure AD</t>
  </si>
  <si>
    <t>3-5-6. 기타 시스템</t>
  </si>
  <si>
    <t>4. Data Mart 구축 모델링 / BI Report 개발</t>
  </si>
  <si>
    <t>4-1. Sales Summary</t>
  </si>
  <si>
    <t>4-1-1. User Report Ⅰ (조직별)</t>
  </si>
  <si>
    <t>4-1-1-1. DM Data Cleansing</t>
  </si>
  <si>
    <t>4-1-1-2. BI Report Development</t>
  </si>
  <si>
    <t>4-1-1-3. User Acceptance Test</t>
  </si>
  <si>
    <t>4-1-2. User Report Ⅱ (품목별)</t>
  </si>
  <si>
    <t>4-1-2-1. DM Data Cleansing</t>
  </si>
  <si>
    <t>4-1-2-2. BI Report Development</t>
  </si>
  <si>
    <t>4-1-2-3. User Acceptance Test</t>
  </si>
  <si>
    <t>4-2. Market</t>
  </si>
  <si>
    <t>4-2-1. Market Summary</t>
  </si>
  <si>
    <t>4-2-1-1. DM Data Cleansing</t>
  </si>
  <si>
    <t>4-2-1-2. BI Report Development</t>
  </si>
  <si>
    <t>4-2-1-3. User Acceptance Test</t>
  </si>
  <si>
    <t>4-2-2. IQVIA Sales</t>
  </si>
  <si>
    <t>4-2-2-1. DM Data Cleansing</t>
  </si>
  <si>
    <t>4-2-2-2. BI Report Development</t>
  </si>
  <si>
    <t>4-2-2-3. User Acceptance Test</t>
  </si>
  <si>
    <t>4-2-3. EDI &amp; KPIS</t>
  </si>
  <si>
    <t>4-2-3-1. DM Data Cleansing</t>
  </si>
  <si>
    <t>4-2-3-2. BI Report Development</t>
  </si>
  <si>
    <t>4-2-3-3. User Acceptance Test</t>
  </si>
  <si>
    <t>4-2-4. UBIST 품목</t>
  </si>
  <si>
    <t>4-2-4-1. DM Data Cleansing</t>
  </si>
  <si>
    <t>4-2-4-2. BI Report Development</t>
  </si>
  <si>
    <t>4-2-4-3. User Acceptance Test</t>
  </si>
  <si>
    <t>4-2-5. UBIST 조직</t>
  </si>
  <si>
    <t>4-2-5-1. DM Data Cleansing</t>
  </si>
  <si>
    <t>4-2-5-2. BI Report Development</t>
  </si>
  <si>
    <t>4-2-5-3. User Acceptance Test</t>
  </si>
  <si>
    <t>4-2-6. 지역별 시장</t>
  </si>
  <si>
    <t>4-2-6-1. DM Data Cleansing</t>
  </si>
  <si>
    <t>4-2-6-2. BI Report Development</t>
  </si>
  <si>
    <t>4-2-6-3. User Acceptance Test</t>
  </si>
  <si>
    <t>4-2-7. TCF 조회</t>
  </si>
  <si>
    <t>4-2-7-1. DM Data Cleansing</t>
  </si>
  <si>
    <t>4-2-7-2. BI Report Development</t>
  </si>
  <si>
    <t>4-2-7-3. User Acceptance Test</t>
  </si>
  <si>
    <t>4-3. Effectiveness</t>
  </si>
  <si>
    <t>4-3-1. Effectiveness Summary</t>
  </si>
  <si>
    <t>4-3-1-1. DM Data Cleansing</t>
  </si>
  <si>
    <t>4-3-1-2. BI Report Development</t>
  </si>
  <si>
    <t>4-3-1-3. User Acceptance Test</t>
  </si>
  <si>
    <t>4-3-2. Daily 실적</t>
  </si>
  <si>
    <t>4-3-2-1. DM Data Cleansing</t>
  </si>
  <si>
    <t>4-3-2-2. BI Report Development</t>
  </si>
  <si>
    <t>4-3-2-3. User Acceptance Test</t>
  </si>
  <si>
    <t>4-3-3. Daily Call</t>
  </si>
  <si>
    <t>4-3-3-1. DM Data Cleansing</t>
  </si>
  <si>
    <t>4-3-3-2. BI Report Development</t>
  </si>
  <si>
    <t>4-3-3-3. User Acceptance Test</t>
  </si>
  <si>
    <t>4-3-4. Monthly</t>
  </si>
  <si>
    <t>4-3-4-1. DM Data Cleansing</t>
  </si>
  <si>
    <t>4-3-4-2. BI Report Development</t>
  </si>
  <si>
    <t>4-3-4-3. User Acceptance Test</t>
  </si>
  <si>
    <t>4-3-5. 영업조직 실적</t>
  </si>
  <si>
    <t>4-3-5-1. DM Data Cleansing</t>
  </si>
  <si>
    <t>4-3-5-2. BI Report Development</t>
  </si>
  <si>
    <t>4-3-5-3. User Acceptance Test</t>
  </si>
  <si>
    <t>4-3-6. 영업조직 계획</t>
  </si>
  <si>
    <t>4-3-6-1. DM Data Cleansing</t>
  </si>
  <si>
    <t>4-3-6-2. BI Report Development</t>
  </si>
  <si>
    <t>4-3-6-3. User Acceptance Test</t>
  </si>
  <si>
    <t>4-3-7. 거래처 실적</t>
  </si>
  <si>
    <t>4-3-7-1. DM Data Cleansing</t>
  </si>
  <si>
    <t>4-3-7-2. BI Report Development</t>
  </si>
  <si>
    <t>4-3-7-3. User Acceptance Test</t>
  </si>
  <si>
    <t>4-3-8. Input 거래처</t>
  </si>
  <si>
    <t>4-3-8-1. DM Data Cleansing</t>
  </si>
  <si>
    <t>4-3-8-2. BI Report Development</t>
  </si>
  <si>
    <t>4-3-8-3. User Acceptance Test</t>
  </si>
  <si>
    <t>4-3-9. Input 고객</t>
  </si>
  <si>
    <t>4-3-9-1. DM Data Cleansing</t>
  </si>
  <si>
    <t>4-3-9-2. BI Report Development</t>
  </si>
  <si>
    <t>4-3-9-3. User Acceptance Test</t>
  </si>
  <si>
    <t>4-3-10. Input VS Output</t>
  </si>
  <si>
    <t>4-3-10-1. DM Data Cleansing</t>
  </si>
  <si>
    <t>4-3-10-2. BI Report Development</t>
  </si>
  <si>
    <t>4-3-10-3. User Acceptance Test</t>
  </si>
  <si>
    <t>4-3-11. CSD</t>
  </si>
  <si>
    <t>4-3-11-1. DM Data Cleansing</t>
  </si>
  <si>
    <t>4-3-11-2. BI Report Development</t>
  </si>
  <si>
    <t>4-3-11-3. User Acceptance Test</t>
  </si>
  <si>
    <t>4-3-12. ROI 분석</t>
  </si>
  <si>
    <t>4-3-12-1. DM Data Cleansing</t>
  </si>
  <si>
    <t>4-3-12-2. BI Report Development</t>
  </si>
  <si>
    <t>4-3-12-3. User Acceptance Test</t>
  </si>
  <si>
    <t>5. Live 운영 안정화</t>
  </si>
  <si>
    <t>5-1. Go-Live 및 운영 안정화</t>
  </si>
  <si>
    <t>5-1-1.  최종 연결 점검 및 모니터링</t>
  </si>
  <si>
    <t>5-1-2.  프로젝트 산출물 보완</t>
  </si>
  <si>
    <t>5-1-3.  프로젝트 인수인계 및 교육</t>
  </si>
  <si>
    <t>5-2. 프로젝트 검수</t>
  </si>
  <si>
    <t>5-2-1.  프로젝트 보안성 검토(최종)</t>
  </si>
  <si>
    <t>5-2-2.  프로젝트 검수 진행</t>
  </si>
  <si>
    <t>5-2-3.  프로젝트 종료 보고</t>
  </si>
  <si>
    <t xml:space="preserve">Project WBS(Work Breakdown Structure) Schedule </t>
    <phoneticPr fontId="1" type="noConversion"/>
  </si>
  <si>
    <t>Project Progress Date</t>
    <phoneticPr fontId="1" type="noConversion"/>
  </si>
  <si>
    <t>Project Progress Status</t>
    <phoneticPr fontId="1" type="noConversion"/>
  </si>
  <si>
    <t>Total Progress Rate</t>
    <phoneticPr fontId="1" type="noConversion"/>
  </si>
  <si>
    <t>Start Date</t>
    <phoneticPr fontId="1" type="noConversion"/>
  </si>
  <si>
    <t>Task Count</t>
    <phoneticPr fontId="1" type="noConversion"/>
  </si>
  <si>
    <t>Task Total</t>
    <phoneticPr fontId="1" type="noConversion"/>
  </si>
  <si>
    <t>End Date</t>
    <phoneticPr fontId="1" type="noConversion"/>
  </si>
  <si>
    <t>Completed</t>
    <phoneticPr fontId="1" type="noConversion"/>
  </si>
  <si>
    <t>Focus on Date</t>
    <phoneticPr fontId="1" type="noConversion"/>
  </si>
  <si>
    <t>In-Progress</t>
    <phoneticPr fontId="1" type="noConversion"/>
  </si>
  <si>
    <t>Open</t>
    <phoneticPr fontId="1" type="noConversion"/>
  </si>
  <si>
    <t>Project Task</t>
  </si>
  <si>
    <t>Plan Schedule</t>
    <phoneticPr fontId="1" type="noConversion"/>
  </si>
  <si>
    <t>Actual Schedule</t>
    <phoneticPr fontId="1" type="noConversion"/>
  </si>
  <si>
    <t>Note</t>
    <phoneticPr fontId="1" type="noConversion"/>
  </si>
  <si>
    <t>Level</t>
  </si>
  <si>
    <t>Last_Lv</t>
    <phoneticPr fontId="1" type="noConversion"/>
  </si>
  <si>
    <t>L1</t>
  </si>
  <si>
    <t>L2</t>
  </si>
  <si>
    <t>L3</t>
  </si>
  <si>
    <t>L4</t>
  </si>
  <si>
    <t>L5</t>
  </si>
  <si>
    <t>PMO</t>
    <phoneticPr fontId="1" type="noConversion"/>
  </si>
  <si>
    <t>PMI</t>
    <phoneticPr fontId="1" type="noConversion"/>
  </si>
  <si>
    <t>Commercial</t>
    <phoneticPr fontId="1" type="noConversion"/>
  </si>
  <si>
    <t>도현승 과장</t>
    <phoneticPr fontId="1" type="noConversion"/>
  </si>
  <si>
    <t>1.  온프레미스 ODS 서버 클라우드(AWS) 마이그레이션</t>
    <phoneticPr fontId="1" type="noConversion"/>
  </si>
  <si>
    <t>1-1.  On-Prem ODS(PROD #09) 서버 클라우드(AWS) 마이그레이션</t>
    <phoneticPr fontId="1" type="noConversion"/>
  </si>
  <si>
    <t>1-1-1.  On-Prem ODS(PROD #09) 분석(마이그레이션 범위 설정)</t>
    <phoneticPr fontId="1" type="noConversion"/>
  </si>
  <si>
    <t>1-1-1-1.  스키마, 테이블, 뷰 등 분석</t>
    <phoneticPr fontId="1" type="noConversion"/>
  </si>
  <si>
    <t>●</t>
    <phoneticPr fontId="1" type="noConversion"/>
  </si>
  <si>
    <t>1-1-1-2.  함수 및 프로시저, Batch Job 등 분석</t>
    <phoneticPr fontId="1" type="noConversion"/>
  </si>
  <si>
    <t>1-1-1-3.  MS SQL Server 확장기능(SSIS, SSAS, SSRS) 분석</t>
    <phoneticPr fontId="1" type="noConversion"/>
  </si>
  <si>
    <t>1-1-1-4.  인덱스 설정 분석</t>
    <phoneticPr fontId="1" type="noConversion"/>
  </si>
  <si>
    <t>1-1-1-5.  데이터베이스 보안 및 권한 설정 분석</t>
    <phoneticPr fontId="1" type="noConversion"/>
  </si>
  <si>
    <t>1-1-1-6.  로깅 및 모니터링 설정 마이그레이션 리스트 작성</t>
    <phoneticPr fontId="1" type="noConversion"/>
  </si>
  <si>
    <t>1-1-2.  On-Prem ODS(PROD #09) 응용프로그램 분석/범위 설정</t>
    <phoneticPr fontId="1" type="noConversion"/>
  </si>
  <si>
    <t>1-1-2-1.  C# 기반 개발 영역 분석</t>
    <phoneticPr fontId="1" type="noConversion"/>
  </si>
  <si>
    <t>1-1-2-2.  CMD 기반 개발 영역 분석</t>
    <phoneticPr fontId="1" type="noConversion"/>
  </si>
  <si>
    <t>1-1-3.  On-Prem ODS(PROD #09) Cloud(AWS) DEV서버 마이그레이션 개발</t>
    <phoneticPr fontId="1" type="noConversion"/>
  </si>
  <si>
    <t>1-1-3-1.  스키마, 테이블, 뷰 등 마이그레이션 개발</t>
    <phoneticPr fontId="1" type="noConversion"/>
  </si>
  <si>
    <t>1-1-3-2.  함수 및 프로시저, Batch Job 등 마이그레이션 개발</t>
    <phoneticPr fontId="1" type="noConversion"/>
  </si>
  <si>
    <t>1-1-3-3.  MS SQL Server 확장기능(SSIS, SSAS, SSRS) 마이그레이션 개발</t>
    <phoneticPr fontId="1" type="noConversion"/>
  </si>
  <si>
    <t>1-1-3-4.  인덱스 설정 마이그레이션 개발</t>
    <phoneticPr fontId="1" type="noConversion"/>
  </si>
  <si>
    <t>1-1-3-5.  데이터베이스 보안 및 권한 설정 마이그레이션 개발</t>
    <phoneticPr fontId="1" type="noConversion"/>
  </si>
  <si>
    <t>1-1-3-6.  로깅 및 모니터링 설정 마이그레이션 개발</t>
    <phoneticPr fontId="1" type="noConversion"/>
  </si>
  <si>
    <t>1-1-4.  On-Prem ODS(PROD #09) 응용프로그램 Cloud(AWS) DEV서버 마이그레이션 개발</t>
    <phoneticPr fontId="1" type="noConversion"/>
  </si>
  <si>
    <t>1-1-4-1.  SSIS Connector 설정 (통신 확인)</t>
    <phoneticPr fontId="1" type="noConversion"/>
  </si>
  <si>
    <t>1-1-4-2.  SSIS Package 개발</t>
    <phoneticPr fontId="1" type="noConversion"/>
  </si>
  <si>
    <t>1-1-4-3.  SSIS Package 배포/Batch Job 설정</t>
    <phoneticPr fontId="1" type="noConversion"/>
  </si>
  <si>
    <t>1-1-5.  Cloud(AWS) DEV서버의 QA서버 배포/검증 (UAT)</t>
    <phoneticPr fontId="1" type="noConversion"/>
  </si>
  <si>
    <t>1-1-5-1.  스키마, 테이블, 뷰 등 배포/검증</t>
    <phoneticPr fontId="1" type="noConversion"/>
  </si>
  <si>
    <t>1-1-5-2.  함수 및 프로시저, Batch Job 등 배포/검증</t>
    <phoneticPr fontId="1" type="noConversion"/>
  </si>
  <si>
    <t>1-1-5-3.  MS SQL Server 확장기능(SSIS, SSAS, SSRS) 배포/검증</t>
    <phoneticPr fontId="1" type="noConversion"/>
  </si>
  <si>
    <t>1-1-5-4.  인덱스 설정 배포/검증</t>
    <phoneticPr fontId="1" type="noConversion"/>
  </si>
  <si>
    <t>1-1-5-5.  데이터베이스 보안 및 권한 설정 배포/검증</t>
    <phoneticPr fontId="1" type="noConversion"/>
  </si>
  <si>
    <t>1-1-5-6.  로깅 및 모니터링 설정 배포/검증</t>
    <phoneticPr fontId="1" type="noConversion"/>
  </si>
  <si>
    <t>1-1-6.  Cloud(AWS) DEV서버 응용프로그램의 QA서버 배포/검증 (UAT)</t>
    <phoneticPr fontId="1" type="noConversion"/>
  </si>
  <si>
    <t>1-1-6-1.  SSIS Connector 재설정 (통신 확인)</t>
  </si>
  <si>
    <t>1-1-6-2.  SSIS Package 수정 개발</t>
  </si>
  <si>
    <t>1-1-6-3.  SSIS Package 배포/Batch Job 설정</t>
  </si>
  <si>
    <t>1-1-7.  Cloud(AWS) QA서버의 PRD서버 배포</t>
    <phoneticPr fontId="1" type="noConversion"/>
  </si>
  <si>
    <t>1-1-7-1.  데이터베이스 기준 배포</t>
    <phoneticPr fontId="1" type="noConversion"/>
  </si>
  <si>
    <t>1-1-7-2.  응용프로그램(신규 SSIS) 기준 수정 개발</t>
    <phoneticPr fontId="1" type="noConversion"/>
  </si>
  <si>
    <t>1-1-7-3.  응용프로그램(신규 SSIS) 기준 수정 배포</t>
    <phoneticPr fontId="1" type="noConversion"/>
  </si>
  <si>
    <t>1-2.  On-Prem ODS(PROD #10) 서버 클라우드(AWS) 마이그레이션</t>
    <phoneticPr fontId="1" type="noConversion"/>
  </si>
  <si>
    <t>1-2-1.  On-Prem ODS(PROD #10) 분석(마이그레이션 범위 설정)</t>
    <phoneticPr fontId="1" type="noConversion"/>
  </si>
  <si>
    <t>1-2-1-1.  스키마, 테이블, 뷰 등 분석</t>
  </si>
  <si>
    <t>1-2-1-2.  함수 및 프로시저, Batch Job 등 분석</t>
  </si>
  <si>
    <t>1-2-1-3.  MS SQL Server 확장기능(SSIS, SSAS, SSRS) 분석</t>
  </si>
  <si>
    <t>1-2-1-4.  인덱스 설정 분석</t>
  </si>
  <si>
    <t>1-2-1-5.  데이터베이스 보안 및 권한 설정 분석</t>
  </si>
  <si>
    <t>1-2-1-6.  로깅 및 모니터링 설정 마이그레이션 리스트 작성</t>
  </si>
  <si>
    <t>1-2-2.  On-Prem ODS(PROD #10) 응용프로그램 분석/범위 설정</t>
    <phoneticPr fontId="1" type="noConversion"/>
  </si>
  <si>
    <t>1-2-2-1.  C# 기반 개발 영역 분석</t>
  </si>
  <si>
    <t>1-2-2-2.  CMD 기반 개발 영역 분석</t>
  </si>
  <si>
    <t>1-2-3.  On-Prem ODS(PROD #10) Cloud(AWS) DEV서버 마이그레이션 개발</t>
    <phoneticPr fontId="1" type="noConversion"/>
  </si>
  <si>
    <t>1-2-3-1.  스키마, 테이블, 뷰 등 마이그레이션 개발</t>
  </si>
  <si>
    <t>1-2-3-2.  함수 및 프로시저, Batch Job 등 마이그레이션 개발</t>
  </si>
  <si>
    <t>1-2-3-3.  MS SQL Server 확장기능(SSIS, SSAS, SSRS) 마이그레이션 개발</t>
  </si>
  <si>
    <t>1-2-3-4.  인덱스 설정 마이그레이션 개발</t>
  </si>
  <si>
    <t>1-2-3-5.  데이터베이스 보안 및 권한 설정 마이그레이션 개발</t>
  </si>
  <si>
    <t>1-2-3-6.  로깅 및 모니터링 설정 마이그레이션 개발</t>
  </si>
  <si>
    <t>1-2-4.  On-Prem ODS(PROD #10) 응용프로그램 Cloud(AWS) DEV서버 마이그레이션 개발</t>
    <phoneticPr fontId="1" type="noConversion"/>
  </si>
  <si>
    <t>1-2-4-1.  SSIS Connector 설정 (통신 확인)</t>
  </si>
  <si>
    <t>1-2-4-2.  SSIS Package 개발</t>
  </si>
  <si>
    <t>1-2-4-3.  SSIS Package 배포/Batch Job 설정</t>
  </si>
  <si>
    <t>1-2-5.  Cloud(AWS) DEV서버의 QA서버 배포/검증 (UAT)</t>
    <phoneticPr fontId="1" type="noConversion"/>
  </si>
  <si>
    <t>1-2-5-1.  스키마, 테이블, 뷰 등 배포/검증</t>
  </si>
  <si>
    <t>1-2-5-2.  함수 및 프로시저, Batch Job 등 배포/검증</t>
  </si>
  <si>
    <t>1-2-5-3.  MS SQL Server 확장기능(SSIS, SSAS, SSRS) 배포/검증</t>
  </si>
  <si>
    <t>1-2-5-4.  인덱스 설정 배포/검증</t>
  </si>
  <si>
    <t>1-2-5-5.  데이터베이스 보안 및 권한 설정 배포/검증</t>
  </si>
  <si>
    <t>1-2-5-6.  로깅 및 모니터링 설정 배포/검증</t>
  </si>
  <si>
    <t>1-2-6.  Cloud(AWS) DEV서버 응용프로그램의 QA서버 배포/검증 (UAT)</t>
    <phoneticPr fontId="1" type="noConversion"/>
  </si>
  <si>
    <t>1-2-6-1.  SSIS Connector 재설정 (통신 확인)</t>
  </si>
  <si>
    <t>1-2-6-2.  SSIS Package 수정 개발</t>
  </si>
  <si>
    <t>1-2-6-3.  SSIS Package 배포/Batch Job 설정</t>
  </si>
  <si>
    <t>1-2-7.  Cloud(AWS) QA서버의 PRD서버 배포</t>
    <phoneticPr fontId="1" type="noConversion"/>
  </si>
  <si>
    <t>1-2-7-1.  데이터베이스 기준 배포</t>
  </si>
  <si>
    <t>1-2-7-2.  응용프로그램(신규 SSIS) 기준 수정 개발</t>
  </si>
  <si>
    <t>1-2-7-3.  응용프로그램(신규 SSIS) 기준 수정 배포</t>
  </si>
  <si>
    <t>2.  Cloud(DEEP) CORIA DW/DM Connection 수정 개발</t>
    <phoneticPr fontId="1" type="noConversion"/>
  </si>
  <si>
    <t>2-1.  CORIA DW Connection 수정 개발</t>
    <phoneticPr fontId="1" type="noConversion"/>
  </si>
  <si>
    <t>2-1-1.  Cloud(DEEP)서버 SSIS Package 수정 개발</t>
    <phoneticPr fontId="1" type="noConversion"/>
  </si>
  <si>
    <t>2-1-1-1.  SSIS Package 소스 데이터 연결 정보 정보 수정</t>
    <phoneticPr fontId="1" type="noConversion"/>
  </si>
  <si>
    <t>2-1-1-2.  SSIS Package 배포</t>
    <phoneticPr fontId="1" type="noConversion"/>
  </si>
  <si>
    <t>2-1-1-3.  Cloud(DEEP)서버 내 Batch Job 설정/모니터링</t>
    <phoneticPr fontId="1" type="noConversion"/>
  </si>
  <si>
    <t>3.  온프레미스 ODS서버 SSRS Report Power BI 전환 개발</t>
    <phoneticPr fontId="1" type="noConversion"/>
  </si>
  <si>
    <t>3-1.  1차 모델링 개발 및 DW 구축</t>
    <phoneticPr fontId="1" type="noConversion"/>
  </si>
  <si>
    <t>3-1-1.  기존 SSRS Report 분석</t>
    <phoneticPr fontId="1" type="noConversion"/>
  </si>
  <si>
    <t>3-1-1-1.  기존 SSRS Report(12 reports + SMART 1) 컨텐츠 및 소스코드 분석</t>
    <phoneticPr fontId="1" type="noConversion"/>
  </si>
  <si>
    <t>3-1-1-2.  기존 SSRS Report 화면, 기능, 권한 분석</t>
    <phoneticPr fontId="1" type="noConversion"/>
  </si>
  <si>
    <t>3-1-2.  Cloud(DEEP)서버 SSIS Package 추가 개발 (DW 내 추가 개발)</t>
    <phoneticPr fontId="1" type="noConversion"/>
  </si>
  <si>
    <t>3-1-2-1.  SSIS Package 파이프라인 개발</t>
    <phoneticPr fontId="1" type="noConversion"/>
  </si>
  <si>
    <t>3-1-2-2.  CORIA DW 내 추가 테이블 생성/적재</t>
    <phoneticPr fontId="1" type="noConversion"/>
  </si>
  <si>
    <t>3-1-2-3.  SSIS Package 배포/Batch Job 생성</t>
    <phoneticPr fontId="1" type="noConversion"/>
  </si>
  <si>
    <t>3-2.  2차 모델링 개발 및 DM 구축</t>
    <phoneticPr fontId="1" type="noConversion"/>
  </si>
  <si>
    <t>3-2-1.  Cloud(DEEP)서버 SSAS Package 신규 개발</t>
    <phoneticPr fontId="1" type="noConversion"/>
  </si>
  <si>
    <t>3-2-1-1. Data Table Processing (SSAS)</t>
    <phoneticPr fontId="1" type="noConversion"/>
  </si>
  <si>
    <t>3-2-1-2. Set table reltaion</t>
    <phoneticPr fontId="1" type="noConversion"/>
  </si>
  <si>
    <t>3-2-1-3. Create measure or modify measure</t>
    <phoneticPr fontId="1" type="noConversion"/>
  </si>
  <si>
    <t>3-2-1-4. RLS(Row-Level Security)</t>
    <phoneticPr fontId="1" type="noConversion"/>
  </si>
  <si>
    <t>3-2-1-5. Deploying SSAS Package On a Server(Processing)</t>
    <phoneticPr fontId="1" type="noConversion"/>
  </si>
  <si>
    <t>3-2-1-6. Package scheduling and monitoring</t>
    <phoneticPr fontId="1" type="noConversion"/>
  </si>
  <si>
    <t>3-3.  3차 모델링 개발 및 Power BI Visualization</t>
    <phoneticPr fontId="1" type="noConversion"/>
  </si>
  <si>
    <t>3-3-1.  Power BI Report 개발</t>
    <phoneticPr fontId="1" type="noConversion"/>
  </si>
  <si>
    <t>3-3-1-1.  개발설계서(Storyboard) 작성</t>
    <phoneticPr fontId="1" type="noConversion"/>
  </si>
  <si>
    <t>3-3-1-2.  Report Page Visualization 개발</t>
    <phoneticPr fontId="1" type="noConversion"/>
  </si>
  <si>
    <t>3-3-1-3.  UAT 및 값검증</t>
    <phoneticPr fontId="1" type="noConversion"/>
  </si>
  <si>
    <t>3-3-1-4.  Live 환경 배포 및 모니터링</t>
    <phoneticPr fontId="1" type="noConversion"/>
  </si>
  <si>
    <t>4.  온프레미스 ODS서버 Cloud Migration 관련 Hyper Care</t>
    <phoneticPr fontId="1" type="noConversion"/>
  </si>
  <si>
    <t>4-1.  Hyper Care (운영 및 모니터링)</t>
    <phoneticPr fontId="1" type="noConversion"/>
  </si>
  <si>
    <t>4-1-1.  프로젝트 산출물 점검/인수인계</t>
    <phoneticPr fontId="1" type="noConversion"/>
  </si>
  <si>
    <t>4-1-1-1.  프로젝트 산출물 작성 및 인수인계</t>
    <phoneticPr fontId="1" type="noConversion"/>
  </si>
  <si>
    <t>4-1-1-2.  프로젝트 검수</t>
    <phoneticPr fontId="1" type="noConversion"/>
  </si>
  <si>
    <t>4-1-2.  운영 및 모니터링</t>
    <phoneticPr fontId="1" type="noConversion"/>
  </si>
  <si>
    <t>4-1-1-1.  운영 및 모니터링</t>
    <phoneticPr fontId="1" type="noConversion"/>
  </si>
  <si>
    <t>4-1-1-2.  피드백 수정 개발</t>
    <phoneticPr fontId="1" type="noConversion"/>
  </si>
  <si>
    <r>
      <rPr>
        <b/>
        <strike/>
        <sz val="9"/>
        <color theme="1"/>
        <rFont val="맑은 고딕"/>
        <family val="3"/>
        <charset val="129"/>
      </rPr>
      <t>(08/02) TPE TEAM에서 진행중</t>
    </r>
    <r>
      <rPr>
        <b/>
        <sz val="9"/>
        <color theme="1"/>
        <rFont val="맑은 고딕"/>
        <family val="3"/>
        <charset val="129"/>
      </rPr>
      <t xml:space="preserve"> -&gt; 08/04 완료</t>
    </r>
  </si>
  <si>
    <r>
      <rPr>
        <b/>
        <strike/>
        <sz val="9"/>
        <color theme="1"/>
        <rFont val="맑은 고딕"/>
        <family val="3"/>
        <charset val="129"/>
      </rPr>
      <t xml:space="preserve">(08/02) TPE TEAM에서 진행중(DEV 권한 확인 못하는 DB - XAFCARFLEET 확인) </t>
    </r>
    <r>
      <rPr>
        <b/>
        <sz val="9"/>
        <color theme="1"/>
        <rFont val="맑은 고딕"/>
        <family val="3"/>
        <charset val="129"/>
      </rPr>
      <t>-&gt;08/07 완료</t>
    </r>
  </si>
  <si>
    <t>1-1-4-3.  SSIS Package 배포/Batch Job 설정 (UAT)</t>
    <phoneticPr fontId="1" type="noConversion"/>
  </si>
  <si>
    <r>
      <t xml:space="preserve">(08/09) ISMS-PRD permission 이슈로 지연 -&gt; 08/16 해결 &gt; QA에서 테스트 진행
</t>
    </r>
    <r>
      <rPr>
        <b/>
        <strike/>
        <sz val="9"/>
        <color theme="1"/>
        <rFont val="맑은 고딕"/>
        <family val="3"/>
        <charset val="129"/>
      </rPr>
      <t xml:space="preserve">(08/03) ISMS-PRD connection 이슈로 지연 </t>
    </r>
    <r>
      <rPr>
        <b/>
        <sz val="9"/>
        <color theme="1"/>
        <rFont val="맑은 고딕"/>
        <family val="3"/>
        <charset val="129"/>
      </rPr>
      <t>-&gt; 08/06 해결</t>
    </r>
  </si>
  <si>
    <t>1-1-5.  Cloud(AWS) QA서버 배포/검증 (UAT)</t>
  </si>
  <si>
    <t>(08/09) TPE TEAM에서 migration 지연 -&gt; 08/10 해결</t>
  </si>
  <si>
    <t>1-1-5-2.  함수 및 프로시저 등 배포/검증</t>
  </si>
  <si>
    <t>1-1-5-3.  MS SQL Server 확장기능(SSIS) , batch job 등 배포/검증</t>
  </si>
  <si>
    <t>(08/30) 완료
(08/23) 08/21에 요청 &gt; TPE TEAM에서 배포 진행중</t>
  </si>
  <si>
    <t>(09/07) 완료
(08/23) On-Prem &lt;&gt; Cloud 부분적 권한이 다른 것이 있어 TPE TEAM에 보안 요청</t>
  </si>
  <si>
    <t>1-1-6.  Cloud(AWS) 응용프로그램의 QA서버 배포/검증 (UAT)</t>
  </si>
  <si>
    <t>(09/21) IMDL 방화벽 확인 중
(08/30) 수동으로 AWX실행하면서 기존SSIS와 응용SSIS 수정 개발 진행 중</t>
  </si>
  <si>
    <t>(08/30) 배포완료 후 수동 실행중이며 완료 후 스케쥴링 예정
(08/23) 08/21에 요청 &gt; TPE TEAM에서 배포 진행중</t>
  </si>
  <si>
    <t>1-1-7.  Cloud(AWS) QA서버의 PRD서버 배포</t>
  </si>
  <si>
    <t>1-1-7-1.  SSIS Package 기준 수정 개발</t>
  </si>
  <si>
    <t>1-1-7-2.  데이터베이스 기준 배포</t>
  </si>
  <si>
    <t>1-2-5.  Cloud(AWS) DEV서버의 QA서버 배포/검증 (UAT)</t>
  </si>
  <si>
    <t>(08/09) TPE TEAM에서 migration 지연-&gt; 08/10 해결</t>
  </si>
  <si>
    <t>(08/30) 수동으로 AWX실행하면서 기존SSIS와 응용SSIS 수정 개발 진행 중</t>
  </si>
  <si>
    <t xml:space="preserve">1-2-7.  Cloud(AWS) QA서버의 PRD서버 배포 </t>
  </si>
  <si>
    <t>1-2-7-1.  SSIS Package 기준 수정 개발</t>
  </si>
  <si>
    <t>1-2-7-2.  데이터베이스 기준 배포</t>
  </si>
  <si>
    <t>2.  Cloud(DEEP) CORIA DW/DM Connection 수정 개발</t>
  </si>
  <si>
    <t>2-1.  CORIA DW Connection 수정 개발</t>
  </si>
  <si>
    <t>2-1-1.  Cloud(DEEP)서버 SSIS Package 수정 개발 - QA 소스</t>
  </si>
  <si>
    <t>2-1-1-1.  SSIS Package 소스 데이터 연결 확인</t>
  </si>
  <si>
    <t>2-1-1-2.  SSIS Package 소스 데이터 연결 정보 정보 수정</t>
  </si>
  <si>
    <t>2-1-1-3.  SSIS Package 배포</t>
  </si>
  <si>
    <t>2-1-1-4.  Cloud(DEEP)서버 내 Job 모니터링</t>
  </si>
  <si>
    <t>2-1-1.  Cloud(DEEP)서버 SSIS Package 수정 개발 - PRD 소스</t>
  </si>
  <si>
    <t>2-1-1-1.  SSIS Package 소스 데이터 연결 정보 정보 수정</t>
  </si>
  <si>
    <t>2-1-1-2.  SSIS Package 소스 데이터 연결 확인</t>
  </si>
  <si>
    <t>2-1-1-4.  Cloud(DEEP)서버 내 Batch Job 설정/모니터링</t>
  </si>
  <si>
    <t>3.  온프레미스 ODS서버 SSRS Report Power BI 전환 개발</t>
  </si>
  <si>
    <t>3-1.  1차 모델링 개발 및 DW 구축</t>
  </si>
  <si>
    <t>3-1-1-1.  기존 SSRS Report(12 reports + SMART 1) 컨텐츠 및 소스코드 분석</t>
  </si>
  <si>
    <t xml:space="preserve"> </t>
  </si>
  <si>
    <t>3-1-2-2.  CORIA DW 내 추가 테이블 생성/적재</t>
  </si>
  <si>
    <t>3-1-2-3.  SSIS Package 배포/Batch Job 생성</t>
  </si>
  <si>
    <t>(09/27) 값검증 완료되었고 TPE team에서 진행중
(09/21) 값검증 완료되면 PRD 스케쥴링 진행
(08/23) 차주 IBM Team CORIA 담당자 진행 예정이며 QA로 진행</t>
  </si>
  <si>
    <t>3-2.  2차 모델링 개발 및 DM 구축</t>
  </si>
  <si>
    <t>3-2-1.  Cloud(DEEP)서버 SSAS Package 신규 개발</t>
  </si>
  <si>
    <t>3-2-1-2. Set table reltaion</t>
  </si>
  <si>
    <t>(09/27) 완료
(08/23) SSAS 모델 배포 방법 확인 후 진행 예정</t>
  </si>
  <si>
    <t>3-2-1-3. Create measure or modify measure</t>
  </si>
  <si>
    <t>(09/27) 완료
(08/30) SSAS 접속 지연으로 power bi에서 초안개발 진행 중</t>
  </si>
  <si>
    <t>3-2-1-4. RLS(Row-Level Security)</t>
  </si>
  <si>
    <t>(09/27) TPE team과 진행중</t>
  </si>
  <si>
    <t>(09/27) TPE team에서 재배포 진행중</t>
  </si>
  <si>
    <t>(09/27) TPE team에서 진행중</t>
  </si>
  <si>
    <t>3-3.  3차 모델링 개발 및 Power BI Visualization</t>
  </si>
  <si>
    <t>3-3-1-1.  개발설계서(Storyboard) 작성</t>
  </si>
  <si>
    <t>3-3-1-3.  UAT 및 값검증</t>
  </si>
  <si>
    <t>(09/27) 완료
(09/21) 기존 SSRS 리포트의 쿼리가 변경됨에 따라 더 꼼꼼히 진행 중이며 금일 완료 예정</t>
  </si>
  <si>
    <t>3-3-1-4.  Live 환경 배포 및 모니터링</t>
  </si>
  <si>
    <t>4-1-1.  프로젝트 산출물 점검/인수인계</t>
  </si>
  <si>
    <t>4-1-1-2.  이슈 및 피드백 수정 개발</t>
  </si>
  <si>
    <t>1.  온프레미스 ODS 서버 클라우드(AWS) 마이그레이션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</si>
</sst>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76" formatCode="[$-412]yy\/mm\/dd\ \(ddd\)"/>
    <numFmt numFmtId="177" formatCode="0_ "/>
    <numFmt numFmtId="178" formatCode="#,##0_ "/>
    <numFmt numFmtId="179" formatCode="[$-412]mm\/dd"/>
    <numFmt numFmtId="180" formatCode="[$-412]ddd"/>
    <numFmt numFmtId="181" formatCode="&quot;Total&quot;\ #,##0\ &quot;Days&quot;"/>
    <numFmt numFmtId="182" formatCode="&quot;Remain&quot;\ #,##0\ &quot;Days&quot;"/>
    <numFmt numFmtId="183" formatCode="&quot;Passed by&quot;\ #,##0\ &quot;Days&quot;"/>
    <numFmt numFmtId="184" formatCode="#,##0\ &quot;EA&quot;"/>
  </numFmts>
  <fonts count="37"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i/>
      <sz val="14"/>
      <color rgb="FF9933FF"/>
      <name val="맑은 고딕"/>
      <family val="3"/>
      <charset val="129"/>
    </font>
    <font>
      <b/>
      <i/>
      <sz val="13"/>
      <color rgb="FF735773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3"/>
      <color theme="1" tint="0.24994659260841701"/>
      <name val="Malgun Gothic"/>
      <family val="2"/>
    </font>
    <font>
      <b/>
      <i/>
      <sz val="16"/>
      <color rgb="FF735773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b/>
      <i/>
      <sz val="9"/>
      <color rgb="FF735773"/>
      <name val="맑은 고딕"/>
      <family val="3"/>
      <charset val="129"/>
    </font>
    <font>
      <b/>
      <sz val="10"/>
      <name val="맑은 고딕"/>
      <family val="3"/>
      <charset val="129"/>
    </font>
    <font>
      <b/>
      <sz val="42"/>
      <color theme="7"/>
      <name val="Malgun Gothic"/>
      <family val="2"/>
    </font>
    <font>
      <sz val="11"/>
      <color theme="1" tint="0.24994659260841701"/>
      <name val="Malgun Gothic"/>
      <family val="2"/>
    </font>
    <font>
      <i/>
      <sz val="11"/>
      <color theme="7"/>
      <name val="Malgun Gothic"/>
      <family val="2"/>
    </font>
    <font>
      <b/>
      <sz val="11"/>
      <color theme="1" tint="0.24994659260841701"/>
      <name val="Malgun Gothic"/>
      <family val="2"/>
    </font>
    <font>
      <sz val="12"/>
      <color theme="1" tint="0.24994659260841701"/>
      <name val="Malgun Gothic"/>
      <family val="2"/>
    </font>
    <font>
      <sz val="14"/>
      <color theme="1" tint="0.24994659260841701"/>
      <name val="Malgun Gothic"/>
      <family val="2"/>
    </font>
    <font>
      <b/>
      <sz val="11"/>
      <color theme="1" tint="0.34998626667073579"/>
      <name val="Malgun Gothic"/>
      <family val="2"/>
    </font>
    <font>
      <b/>
      <sz val="13"/>
      <color theme="7"/>
      <name val="Malgun Gothic"/>
      <family val="2"/>
    </font>
    <font>
      <sz val="9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6"/>
      <name val="맑은 고딕"/>
      <family val="3"/>
      <charset val="129"/>
      <scheme val="major"/>
    </font>
    <font>
      <i/>
      <sz val="11"/>
      <name val="맑은 고딕"/>
      <family val="3"/>
      <charset val="129"/>
      <scheme val="major"/>
    </font>
    <font>
      <sz val="8.5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</font>
    <font>
      <b/>
      <i/>
      <sz val="24"/>
      <color rgb="FF735773"/>
      <name val="맑은 고딕"/>
      <family val="3"/>
      <charset val="129"/>
    </font>
    <font>
      <b/>
      <i/>
      <sz val="11"/>
      <name val="맑은 고딕"/>
      <family val="3"/>
      <charset val="129"/>
      <scheme val="major"/>
    </font>
    <font>
      <b/>
      <sz val="9"/>
      <name val="맑은 고딕"/>
      <family val="3"/>
      <scheme val="major"/>
    </font>
    <font>
      <sz val="8.5"/>
      <name val="맑은 고딕"/>
      <family val="3"/>
      <scheme val="major"/>
    </font>
    <font>
      <sz val="9"/>
      <name val="맑은 고딕"/>
      <family val="3"/>
      <scheme val="major"/>
    </font>
    <font>
      <b/>
      <strike/>
      <sz val="9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rgb="FF73577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theme="7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1">
    <xf numFmtId="0" fontId="0" fillId="0" borderId="0">
      <alignment vertical="center"/>
    </xf>
    <xf numFmtId="0" fontId="7" fillId="0" borderId="0" applyFill="0" applyBorder="0" applyProtection="0">
      <alignment horizontal="left" wrapText="1"/>
    </xf>
    <xf numFmtId="9" fontId="10" fillId="0" borderId="0" applyFont="0" applyFill="0" applyBorder="0" applyAlignment="0" applyProtection="0">
      <alignment vertical="center"/>
    </xf>
    <xf numFmtId="0" fontId="13" fillId="0" borderId="0" applyNumberFormat="0" applyFill="0" applyBorder="0" applyProtection="0">
      <alignment vertical="center"/>
    </xf>
    <xf numFmtId="0" fontId="13" fillId="0" borderId="0" applyNumberFormat="0" applyFill="0" applyBorder="0" applyAlignment="0" applyProtection="0"/>
    <xf numFmtId="0" fontId="14" fillId="0" borderId="0" applyNumberFormat="0" applyFill="0" applyBorder="0" applyProtection="0">
      <alignment horizontal="center" vertical="center"/>
    </xf>
    <xf numFmtId="0" fontId="15" fillId="0" borderId="0" applyNumberFormat="0" applyFill="0" applyBorder="0" applyProtection="0">
      <alignment vertical="center"/>
    </xf>
    <xf numFmtId="0" fontId="16" fillId="3" borderId="7" applyNumberFormat="0" applyProtection="0">
      <alignment horizontal="left" vertical="center"/>
    </xf>
    <xf numFmtId="177" fontId="17" fillId="3" borderId="7">
      <alignment horizontal="center" vertical="center"/>
    </xf>
    <xf numFmtId="0" fontId="14" fillId="4" borderId="8" applyNumberFormat="0" applyFont="0" applyAlignment="0">
      <alignment horizontal="center"/>
    </xf>
    <xf numFmtId="0" fontId="18" fillId="0" borderId="0" applyNumberFormat="0" applyFill="0" applyBorder="0" applyProtection="0">
      <alignment horizontal="left" vertical="center"/>
    </xf>
    <xf numFmtId="0" fontId="14" fillId="5" borderId="9" applyNumberFormat="0" applyFont="0" applyAlignment="0">
      <alignment horizontal="center"/>
    </xf>
    <xf numFmtId="0" fontId="14" fillId="6" borderId="9" applyNumberFormat="0" applyFont="0" applyAlignment="0">
      <alignment horizontal="center"/>
    </xf>
    <xf numFmtId="0" fontId="14" fillId="7" borderId="9" applyNumberFormat="0" applyFont="0" applyAlignment="0">
      <alignment horizontal="center"/>
    </xf>
    <xf numFmtId="0" fontId="14" fillId="8" borderId="9" applyNumberFormat="0" applyFont="0" applyAlignment="0">
      <alignment horizontal="center"/>
    </xf>
    <xf numFmtId="0" fontId="19" fillId="0" borderId="0" applyFill="0" applyProtection="0">
      <alignment vertical="center"/>
    </xf>
    <xf numFmtId="0" fontId="19" fillId="0" borderId="0" applyFill="0" applyProtection="0">
      <alignment horizontal="center" vertical="center" wrapText="1"/>
    </xf>
    <xf numFmtId="0" fontId="19" fillId="0" borderId="0" applyFill="0" applyProtection="0">
      <alignment horizontal="left"/>
    </xf>
    <xf numFmtId="0" fontId="19" fillId="0" borderId="0" applyFill="0" applyBorder="0" applyProtection="0">
      <alignment horizontal="center" wrapText="1"/>
    </xf>
    <xf numFmtId="178" fontId="19" fillId="0" borderId="10" applyFill="0" applyProtection="0">
      <alignment horizontal="center"/>
    </xf>
    <xf numFmtId="9" fontId="20" fillId="0" borderId="0" applyFill="0" applyBorder="0" applyProtection="0">
      <alignment horizontal="center" vertical="center"/>
    </xf>
  </cellStyleXfs>
  <cellXfs count="202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2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11" fillId="0" borderId="2" xfId="0" applyFont="1" applyBorder="1">
      <alignment vertical="center"/>
    </xf>
    <xf numFmtId="0" fontId="5" fillId="0" borderId="6" xfId="0" applyFont="1" applyBorder="1" applyAlignment="1">
      <alignment horizontal="center" vertical="center"/>
    </xf>
    <xf numFmtId="176" fontId="5" fillId="0" borderId="6" xfId="0" applyNumberFormat="1" applyFon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>
      <alignment vertical="center"/>
    </xf>
    <xf numFmtId="176" fontId="9" fillId="0" borderId="6" xfId="0" applyNumberFormat="1" applyFont="1" applyBorder="1" applyAlignment="1">
      <alignment horizontal="center" vertical="center"/>
    </xf>
    <xf numFmtId="9" fontId="9" fillId="0" borderId="6" xfId="2" applyFont="1" applyBorder="1" applyAlignment="1">
      <alignment horizontal="center" vertical="center"/>
    </xf>
    <xf numFmtId="9" fontId="5" fillId="0" borderId="0" xfId="2" applyFont="1" applyAlignment="1">
      <alignment horizontal="center" vertical="center"/>
    </xf>
    <xf numFmtId="9" fontId="5" fillId="0" borderId="6" xfId="2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1" fillId="0" borderId="0" xfId="5" applyFo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3" fillId="0" borderId="0" xfId="5" applyFont="1">
      <alignment horizontal="center" vertical="center"/>
    </xf>
    <xf numFmtId="176" fontId="21" fillId="0" borderId="0" xfId="5" applyNumberFormat="1" applyFont="1">
      <alignment horizontal="center" vertical="center"/>
    </xf>
    <xf numFmtId="0" fontId="21" fillId="0" borderId="0" xfId="1" applyFont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21" fillId="0" borderId="0" xfId="1" applyFont="1" applyAlignment="1">
      <alignment horizontal="left" vertical="center" wrapText="1"/>
    </xf>
    <xf numFmtId="9" fontId="21" fillId="0" borderId="0" xfId="20" applyFont="1">
      <alignment horizontal="center" vertical="center"/>
    </xf>
    <xf numFmtId="0" fontId="21" fillId="0" borderId="0" xfId="6" applyFont="1">
      <alignment vertical="center"/>
    </xf>
    <xf numFmtId="176" fontId="21" fillId="0" borderId="0" xfId="6" applyNumberFormat="1" applyFont="1">
      <alignment vertical="center"/>
    </xf>
    <xf numFmtId="14" fontId="0" fillId="0" borderId="0" xfId="0" applyNumberFormat="1">
      <alignment vertical="center"/>
    </xf>
    <xf numFmtId="14" fontId="0" fillId="2" borderId="0" xfId="0" applyNumberFormat="1" applyFill="1" applyAlignment="1">
      <alignment horizontal="center" vertical="center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0" fontId="5" fillId="0" borderId="25" xfId="0" applyFont="1" applyBorder="1" applyAlignment="1">
      <alignment horizontal="center" vertical="center"/>
    </xf>
    <xf numFmtId="0" fontId="24" fillId="0" borderId="0" xfId="5" applyFont="1">
      <alignment horizontal="center" vertical="center"/>
    </xf>
    <xf numFmtId="0" fontId="24" fillId="0" borderId="0" xfId="1" applyFont="1" applyAlignment="1">
      <alignment horizontal="left" vertical="center" wrapText="1"/>
    </xf>
    <xf numFmtId="176" fontId="24" fillId="0" borderId="0" xfId="5" applyNumberFormat="1" applyFont="1">
      <alignment horizontal="center" vertical="center"/>
    </xf>
    <xf numFmtId="9" fontId="24" fillId="0" borderId="0" xfId="20" applyFo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1" fillId="0" borderId="26" xfId="1" applyFont="1" applyBorder="1" applyAlignment="1">
      <alignment horizontal="left" vertical="center" wrapText="1"/>
    </xf>
    <xf numFmtId="0" fontId="21" fillId="9" borderId="6" xfId="1" applyFont="1" applyFill="1" applyBorder="1" applyAlignment="1">
      <alignment horizontal="center" vertical="center"/>
    </xf>
    <xf numFmtId="0" fontId="21" fillId="9" borderId="3" xfId="1" applyFont="1" applyFill="1" applyBorder="1" applyAlignment="1">
      <alignment horizontal="left" vertical="center"/>
    </xf>
    <xf numFmtId="0" fontId="21" fillId="9" borderId="4" xfId="1" applyFont="1" applyFill="1" applyBorder="1" applyAlignment="1">
      <alignment horizontal="left" vertical="center"/>
    </xf>
    <xf numFmtId="0" fontId="5" fillId="9" borderId="6" xfId="0" applyFont="1" applyFill="1" applyBorder="1" applyAlignment="1">
      <alignment horizontal="center" vertical="center"/>
    </xf>
    <xf numFmtId="0" fontId="21" fillId="9" borderId="24" xfId="1" applyFont="1" applyFill="1" applyBorder="1" applyAlignment="1">
      <alignment horizontal="left" vertical="center"/>
    </xf>
    <xf numFmtId="0" fontId="5" fillId="9" borderId="30" xfId="0" applyFont="1" applyFill="1" applyBorder="1" applyAlignment="1">
      <alignment horizontal="center" vertical="center"/>
    </xf>
    <xf numFmtId="176" fontId="5" fillId="9" borderId="32" xfId="0" applyNumberFormat="1" applyFont="1" applyFill="1" applyBorder="1" applyAlignment="1">
      <alignment horizontal="center" vertical="center"/>
    </xf>
    <xf numFmtId="176" fontId="5" fillId="9" borderId="30" xfId="0" applyNumberFormat="1" applyFont="1" applyFill="1" applyBorder="1" applyAlignment="1">
      <alignment horizontal="center" vertical="center"/>
    </xf>
    <xf numFmtId="9" fontId="5" fillId="9" borderId="5" xfId="2" applyFont="1" applyFill="1" applyBorder="1" applyAlignment="1">
      <alignment horizontal="center" vertical="center"/>
    </xf>
    <xf numFmtId="179" fontId="26" fillId="0" borderId="0" xfId="5" applyNumberFormat="1" applyFont="1">
      <alignment horizontal="center" vertical="center"/>
    </xf>
    <xf numFmtId="179" fontId="26" fillId="0" borderId="11" xfId="1" applyNumberFormat="1" applyFont="1" applyBorder="1" applyAlignment="1">
      <alignment horizontal="left" vertical="center" wrapText="1"/>
    </xf>
    <xf numFmtId="179" fontId="26" fillId="0" borderId="11" xfId="6" applyNumberFormat="1" applyFont="1" applyBorder="1">
      <alignment vertical="center"/>
    </xf>
    <xf numFmtId="179" fontId="26" fillId="0" borderId="16" xfId="1" applyNumberFormat="1" applyFont="1" applyBorder="1" applyAlignment="1">
      <alignment horizontal="left" vertical="center" wrapText="1"/>
    </xf>
    <xf numFmtId="179" fontId="26" fillId="0" borderId="12" xfId="1" applyNumberFormat="1" applyFont="1" applyBorder="1" applyAlignment="1">
      <alignment horizontal="left" vertical="center" wrapText="1"/>
    </xf>
    <xf numFmtId="179" fontId="26" fillId="0" borderId="12" xfId="6" applyNumberFormat="1" applyFont="1" applyBorder="1">
      <alignment vertical="center"/>
    </xf>
    <xf numFmtId="179" fontId="26" fillId="0" borderId="12" xfId="5" applyNumberFormat="1" applyFont="1" applyBorder="1">
      <alignment horizontal="center" vertical="center"/>
    </xf>
    <xf numFmtId="179" fontId="26" fillId="0" borderId="16" xfId="6" applyNumberFormat="1" applyFont="1" applyBorder="1">
      <alignment vertical="center"/>
    </xf>
    <xf numFmtId="179" fontId="26" fillId="0" borderId="17" xfId="6" applyNumberFormat="1" applyFont="1" applyBorder="1">
      <alignment vertical="center"/>
    </xf>
    <xf numFmtId="179" fontId="26" fillId="0" borderId="13" xfId="6" applyNumberFormat="1" applyFont="1" applyBorder="1">
      <alignment vertical="center"/>
    </xf>
    <xf numFmtId="179" fontId="26" fillId="0" borderId="13" xfId="5" applyNumberFormat="1" applyFont="1" applyBorder="1">
      <alignment horizontal="center" vertical="center"/>
    </xf>
    <xf numFmtId="179" fontId="26" fillId="0" borderId="2" xfId="6" applyNumberFormat="1" applyFont="1" applyBorder="1">
      <alignment vertical="center"/>
    </xf>
    <xf numFmtId="179" fontId="26" fillId="0" borderId="2" xfId="5" applyNumberFormat="1" applyFont="1" applyBorder="1">
      <alignment horizontal="center" vertical="center"/>
    </xf>
    <xf numFmtId="179" fontId="26" fillId="0" borderId="16" xfId="5" applyNumberFormat="1" applyFont="1" applyBorder="1">
      <alignment horizontal="center" vertical="center"/>
    </xf>
    <xf numFmtId="179" fontId="26" fillId="0" borderId="12" xfId="5" applyNumberFormat="1" applyFont="1" applyFill="1" applyBorder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27" fillId="12" borderId="6" xfId="1" applyFont="1" applyFill="1" applyBorder="1" applyAlignment="1">
      <alignment horizontal="center" vertical="center"/>
    </xf>
    <xf numFmtId="0" fontId="27" fillId="12" borderId="24" xfId="1" applyFont="1" applyFill="1" applyBorder="1" applyAlignment="1">
      <alignment horizontal="left" vertical="center"/>
    </xf>
    <xf numFmtId="176" fontId="28" fillId="12" borderId="32" xfId="0" applyNumberFormat="1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176" fontId="28" fillId="12" borderId="30" xfId="0" applyNumberFormat="1" applyFont="1" applyFill="1" applyBorder="1" applyAlignment="1">
      <alignment horizontal="center" vertical="center"/>
    </xf>
    <xf numFmtId="9" fontId="28" fillId="12" borderId="5" xfId="2" applyFont="1" applyFill="1" applyBorder="1" applyAlignment="1">
      <alignment horizontal="center" vertical="center"/>
    </xf>
    <xf numFmtId="0" fontId="28" fillId="12" borderId="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27" fillId="13" borderId="6" xfId="1" applyFont="1" applyFill="1" applyBorder="1" applyAlignment="1">
      <alignment horizontal="center" vertical="center"/>
    </xf>
    <xf numFmtId="0" fontId="27" fillId="13" borderId="3" xfId="1" applyFont="1" applyFill="1" applyBorder="1" applyAlignment="1">
      <alignment horizontal="left" vertical="center"/>
    </xf>
    <xf numFmtId="0" fontId="27" fillId="13" borderId="4" xfId="1" applyFont="1" applyFill="1" applyBorder="1" applyAlignment="1">
      <alignment horizontal="left" vertical="center"/>
    </xf>
    <xf numFmtId="0" fontId="27" fillId="13" borderId="24" xfId="1" applyFont="1" applyFill="1" applyBorder="1" applyAlignment="1">
      <alignment horizontal="left" vertical="center"/>
    </xf>
    <xf numFmtId="176" fontId="28" fillId="13" borderId="32" xfId="0" applyNumberFormat="1" applyFont="1" applyFill="1" applyBorder="1" applyAlignment="1">
      <alignment horizontal="center" vertical="center"/>
    </xf>
    <xf numFmtId="0" fontId="28" fillId="13" borderId="6" xfId="0" applyFont="1" applyFill="1" applyBorder="1" applyAlignment="1">
      <alignment horizontal="center" vertical="center"/>
    </xf>
    <xf numFmtId="176" fontId="28" fillId="13" borderId="30" xfId="0" applyNumberFormat="1" applyFont="1" applyFill="1" applyBorder="1" applyAlignment="1">
      <alignment horizontal="center" vertical="center"/>
    </xf>
    <xf numFmtId="9" fontId="28" fillId="13" borderId="5" xfId="2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8" fillId="13" borderId="21" xfId="0" applyFont="1" applyFill="1" applyBorder="1" applyAlignment="1">
      <alignment horizontal="center" vertical="center"/>
    </xf>
    <xf numFmtId="180" fontId="26" fillId="10" borderId="5" xfId="19" applyNumberFormat="1" applyFont="1" applyFill="1" applyBorder="1" applyAlignment="1">
      <alignment horizontal="center" vertical="center"/>
    </xf>
    <xf numFmtId="180" fontId="26" fillId="10" borderId="6" xfId="19" applyNumberFormat="1" applyFont="1" applyFill="1" applyBorder="1" applyAlignment="1">
      <alignment horizontal="center" vertical="center"/>
    </xf>
    <xf numFmtId="0" fontId="22" fillId="10" borderId="14" xfId="15" applyFont="1" applyFill="1" applyBorder="1" applyAlignment="1">
      <alignment horizontal="center" vertical="center"/>
    </xf>
    <xf numFmtId="0" fontId="22" fillId="10" borderId="18" xfId="15" applyFont="1" applyFill="1" applyBorder="1" applyAlignment="1">
      <alignment horizontal="center" vertical="center"/>
    </xf>
    <xf numFmtId="0" fontId="22" fillId="10" borderId="19" xfId="15" applyFont="1" applyFill="1" applyBorder="1" applyAlignment="1">
      <alignment horizontal="center" vertical="center"/>
    </xf>
    <xf numFmtId="0" fontId="22" fillId="10" borderId="31" xfId="15" applyFont="1" applyFill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0" fontId="12" fillId="10" borderId="14" xfId="0" applyFont="1" applyFill="1" applyBorder="1" applyAlignment="1">
      <alignment horizontal="center" vertical="center"/>
    </xf>
    <xf numFmtId="0" fontId="12" fillId="10" borderId="34" xfId="0" applyFont="1" applyFill="1" applyBorder="1" applyAlignment="1">
      <alignment horizontal="center" vertical="center"/>
    </xf>
    <xf numFmtId="176" fontId="12" fillId="10" borderId="33" xfId="0" applyNumberFormat="1" applyFont="1" applyFill="1" applyBorder="1" applyAlignment="1">
      <alignment horizontal="center" vertical="center"/>
    </xf>
    <xf numFmtId="176" fontId="12" fillId="10" borderId="34" xfId="0" applyNumberFormat="1" applyFont="1" applyFill="1" applyBorder="1" applyAlignment="1">
      <alignment horizontal="center" vertical="center"/>
    </xf>
    <xf numFmtId="9" fontId="12" fillId="10" borderId="20" xfId="2" applyFont="1" applyFill="1" applyBorder="1" applyAlignment="1">
      <alignment horizontal="center" vertical="center"/>
    </xf>
    <xf numFmtId="0" fontId="12" fillId="10" borderId="18" xfId="0" applyFont="1" applyFill="1" applyBorder="1" applyAlignment="1">
      <alignment horizontal="center" vertical="center"/>
    </xf>
    <xf numFmtId="179" fontId="26" fillId="10" borderId="20" xfId="19" applyNumberFormat="1" applyFont="1" applyFill="1" applyBorder="1" applyAlignment="1">
      <alignment horizontal="center" vertical="center"/>
    </xf>
    <xf numFmtId="179" fontId="26" fillId="10" borderId="14" xfId="19" applyNumberFormat="1" applyFont="1" applyFill="1" applyBorder="1" applyAlignment="1">
      <alignment horizontal="center" vertical="center"/>
    </xf>
    <xf numFmtId="0" fontId="5" fillId="12" borderId="32" xfId="0" applyFont="1" applyFill="1" applyBorder="1" applyAlignment="1">
      <alignment horizontal="center" vertical="center"/>
    </xf>
    <xf numFmtId="0" fontId="5" fillId="13" borderId="32" xfId="0" applyFont="1" applyFill="1" applyBorder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0" fontId="2" fillId="0" borderId="0" xfId="0" applyFont="1">
      <alignment vertical="center"/>
    </xf>
    <xf numFmtId="0" fontId="29" fillId="0" borderId="0" xfId="0" applyFont="1">
      <alignment vertical="center"/>
    </xf>
    <xf numFmtId="0" fontId="26" fillId="0" borderId="11" xfId="1" applyFont="1" applyBorder="1" applyAlignment="1">
      <alignment horizontal="left" vertical="center" wrapText="1"/>
    </xf>
    <xf numFmtId="0" fontId="5" fillId="9" borderId="32" xfId="0" applyFont="1" applyFill="1" applyBorder="1" applyAlignment="1">
      <alignment horizontal="center" vertical="center"/>
    </xf>
    <xf numFmtId="0" fontId="26" fillId="0" borderId="15" xfId="1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184" fontId="25" fillId="11" borderId="48" xfId="20" applyNumberFormat="1" applyFont="1" applyFill="1" applyBorder="1">
      <alignment horizontal="center" vertical="center"/>
    </xf>
    <xf numFmtId="184" fontId="25" fillId="11" borderId="49" xfId="20" applyNumberFormat="1" applyFont="1" applyFill="1" applyBorder="1">
      <alignment horizontal="center" vertical="center"/>
    </xf>
    <xf numFmtId="184" fontId="25" fillId="11" borderId="43" xfId="20" applyNumberFormat="1" applyFont="1" applyFill="1" applyBorder="1">
      <alignment horizontal="center" vertical="center"/>
    </xf>
    <xf numFmtId="9" fontId="25" fillId="11" borderId="51" xfId="5" applyNumberFormat="1" applyFont="1" applyFill="1" applyBorder="1">
      <alignment horizontal="center" vertical="center"/>
    </xf>
    <xf numFmtId="0" fontId="30" fillId="9" borderId="37" xfId="1" applyFont="1" applyFill="1" applyBorder="1" applyAlignment="1">
      <alignment vertical="center" wrapText="1"/>
    </xf>
    <xf numFmtId="0" fontId="30" fillId="9" borderId="39" xfId="1" applyFont="1" applyFill="1" applyBorder="1" applyAlignment="1">
      <alignment vertical="center" wrapText="1"/>
    </xf>
    <xf numFmtId="0" fontId="30" fillId="9" borderId="42" xfId="1" applyFont="1" applyFill="1" applyBorder="1" applyAlignment="1">
      <alignment vertical="center" wrapText="1"/>
    </xf>
    <xf numFmtId="183" fontId="25" fillId="11" borderId="3" xfId="1" applyNumberFormat="1" applyFont="1" applyFill="1" applyBorder="1" applyAlignment="1">
      <alignment horizontal="left" vertical="center" wrapText="1"/>
    </xf>
    <xf numFmtId="182" fontId="25" fillId="11" borderId="58" xfId="1" applyNumberFormat="1" applyFont="1" applyFill="1" applyBorder="1" applyAlignment="1">
      <alignment horizontal="left" vertical="center" wrapText="1"/>
    </xf>
    <xf numFmtId="0" fontId="27" fillId="12" borderId="59" xfId="1" applyFont="1" applyFill="1" applyBorder="1" applyAlignment="1">
      <alignment horizontal="left" vertical="center"/>
    </xf>
    <xf numFmtId="0" fontId="27" fillId="12" borderId="60" xfId="1" applyFont="1" applyFill="1" applyBorder="1" applyAlignment="1">
      <alignment horizontal="left" vertical="center"/>
    </xf>
    <xf numFmtId="176" fontId="28" fillId="13" borderId="5" xfId="0" applyNumberFormat="1" applyFont="1" applyFill="1" applyBorder="1" applyAlignment="1">
      <alignment horizontal="center" vertical="center"/>
    </xf>
    <xf numFmtId="176" fontId="28" fillId="13" borderId="24" xfId="0" applyNumberFormat="1" applyFont="1" applyFill="1" applyBorder="1" applyAlignment="1">
      <alignment horizontal="center" vertical="center"/>
    </xf>
    <xf numFmtId="176" fontId="5" fillId="10" borderId="24" xfId="0" applyNumberFormat="1" applyFont="1" applyFill="1" applyBorder="1" applyAlignment="1">
      <alignment horizontal="center" vertical="center"/>
    </xf>
    <xf numFmtId="0" fontId="27" fillId="12" borderId="61" xfId="1" applyFont="1" applyFill="1" applyBorder="1" applyAlignment="1">
      <alignment horizontal="left" vertical="center"/>
    </xf>
    <xf numFmtId="0" fontId="27" fillId="12" borderId="2" xfId="1" applyFont="1" applyFill="1" applyBorder="1" applyAlignment="1">
      <alignment horizontal="left" vertical="center"/>
    </xf>
    <xf numFmtId="0" fontId="27" fillId="12" borderId="62" xfId="1" applyFont="1" applyFill="1" applyBorder="1" applyAlignment="1">
      <alignment horizontal="left" vertical="center"/>
    </xf>
    <xf numFmtId="0" fontId="5" fillId="13" borderId="5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5" fillId="12" borderId="63" xfId="0" applyFont="1" applyFill="1" applyBorder="1" applyAlignment="1">
      <alignment horizontal="center" vertical="center"/>
    </xf>
    <xf numFmtId="0" fontId="5" fillId="12" borderId="64" xfId="0" applyFont="1" applyFill="1" applyBorder="1" applyAlignment="1">
      <alignment horizontal="center" vertical="center"/>
    </xf>
    <xf numFmtId="0" fontId="22" fillId="10" borderId="4" xfId="15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28" fillId="9" borderId="21" xfId="0" applyFont="1" applyFill="1" applyBorder="1" applyAlignment="1">
      <alignment horizontal="left" vertical="center"/>
    </xf>
    <xf numFmtId="0" fontId="28" fillId="12" borderId="21" xfId="0" applyFont="1" applyFill="1" applyBorder="1" applyAlignment="1">
      <alignment horizontal="left" vertical="center"/>
    </xf>
    <xf numFmtId="0" fontId="28" fillId="13" borderId="21" xfId="0" applyFont="1" applyFill="1" applyBorder="1" applyAlignment="1">
      <alignment horizontal="left" vertical="center"/>
    </xf>
    <xf numFmtId="9" fontId="21" fillId="0" borderId="0" xfId="20" applyFont="1" applyAlignment="1">
      <alignment horizontal="left" vertical="center"/>
    </xf>
    <xf numFmtId="0" fontId="31" fillId="13" borderId="6" xfId="1" applyFont="1" applyFill="1" applyBorder="1" applyAlignment="1">
      <alignment horizontal="center" vertical="center"/>
    </xf>
    <xf numFmtId="0" fontId="31" fillId="13" borderId="3" xfId="1" applyFont="1" applyFill="1" applyBorder="1" applyAlignment="1">
      <alignment horizontal="left" vertical="center"/>
    </xf>
    <xf numFmtId="0" fontId="31" fillId="13" borderId="4" xfId="1" applyFont="1" applyFill="1" applyBorder="1" applyAlignment="1">
      <alignment horizontal="left" vertical="center"/>
    </xf>
    <xf numFmtId="0" fontId="31" fillId="13" borderId="24" xfId="1" applyFont="1" applyFill="1" applyBorder="1" applyAlignment="1">
      <alignment horizontal="left" vertical="center"/>
    </xf>
    <xf numFmtId="179" fontId="32" fillId="0" borderId="16" xfId="5" applyNumberFormat="1" applyFont="1" applyBorder="1">
      <alignment horizontal="center" vertical="center"/>
    </xf>
    <xf numFmtId="179" fontId="32" fillId="0" borderId="12" xfId="5" applyNumberFormat="1" applyFont="1" applyBorder="1">
      <alignment horizontal="center" vertical="center"/>
    </xf>
    <xf numFmtId="0" fontId="33" fillId="9" borderId="6" xfId="1" applyFont="1" applyFill="1" applyBorder="1" applyAlignment="1">
      <alignment horizontal="center" vertical="center"/>
    </xf>
    <xf numFmtId="0" fontId="33" fillId="9" borderId="3" xfId="1" applyFont="1" applyFill="1" applyBorder="1" applyAlignment="1">
      <alignment horizontal="left" vertical="center"/>
    </xf>
    <xf numFmtId="0" fontId="33" fillId="9" borderId="4" xfId="1" applyFont="1" applyFill="1" applyBorder="1" applyAlignment="1">
      <alignment horizontal="left" vertical="center"/>
    </xf>
    <xf numFmtId="0" fontId="33" fillId="9" borderId="24" xfId="1" applyFont="1" applyFill="1" applyBorder="1" applyAlignment="1">
      <alignment horizontal="left" vertical="center"/>
    </xf>
    <xf numFmtId="0" fontId="28" fillId="9" borderId="21" xfId="0" applyFont="1" applyFill="1" applyBorder="1" applyAlignment="1">
      <alignment horizontal="left" vertical="top" wrapText="1"/>
    </xf>
    <xf numFmtId="0" fontId="3" fillId="0" borderId="2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176" fontId="25" fillId="11" borderId="36" xfId="20" applyNumberFormat="1" applyFont="1" applyFill="1" applyBorder="1">
      <alignment horizontal="center" vertical="center"/>
    </xf>
    <xf numFmtId="176" fontId="25" fillId="11" borderId="6" xfId="20" applyNumberFormat="1" applyFont="1" applyFill="1" applyBorder="1">
      <alignment horizontal="center" vertical="center"/>
    </xf>
    <xf numFmtId="0" fontId="30" fillId="9" borderId="35" xfId="1" applyFont="1" applyFill="1" applyBorder="1" applyAlignment="1">
      <alignment horizontal="center" vertical="center" wrapText="1"/>
    </xf>
    <xf numFmtId="0" fontId="30" fillId="9" borderId="36" xfId="1" applyFont="1" applyFill="1" applyBorder="1" applyAlignment="1">
      <alignment horizontal="center" vertical="center" wrapText="1"/>
    </xf>
    <xf numFmtId="0" fontId="30" fillId="9" borderId="38" xfId="1" applyFont="1" applyFill="1" applyBorder="1" applyAlignment="1">
      <alignment horizontal="center" vertical="center" wrapText="1"/>
    </xf>
    <xf numFmtId="0" fontId="30" fillId="9" borderId="6" xfId="1" applyFont="1" applyFill="1" applyBorder="1" applyAlignment="1">
      <alignment horizontal="center" vertical="center" wrapText="1"/>
    </xf>
    <xf numFmtId="181" fontId="25" fillId="11" borderId="54" xfId="1" applyNumberFormat="1" applyFont="1" applyFill="1" applyBorder="1" applyAlignment="1">
      <alignment horizontal="left" vertical="center" wrapText="1"/>
    </xf>
    <xf numFmtId="181" fontId="25" fillId="11" borderId="2" xfId="1" applyNumberFormat="1" applyFont="1" applyFill="1" applyBorder="1" applyAlignment="1">
      <alignment horizontal="left" vertical="center" wrapText="1"/>
    </xf>
    <xf numFmtId="0" fontId="30" fillId="9" borderId="53" xfId="1" applyFont="1" applyFill="1" applyBorder="1" applyAlignment="1">
      <alignment horizontal="center" vertical="center"/>
    </xf>
    <xf numFmtId="0" fontId="30" fillId="9" borderId="54" xfId="1" applyFont="1" applyFill="1" applyBorder="1" applyAlignment="1">
      <alignment horizontal="center" vertical="center"/>
    </xf>
    <xf numFmtId="0" fontId="30" fillId="9" borderId="55" xfId="1" applyFont="1" applyFill="1" applyBorder="1" applyAlignment="1">
      <alignment horizontal="center" vertical="center"/>
    </xf>
    <xf numFmtId="0" fontId="30" fillId="9" borderId="56" xfId="1" applyFont="1" applyFill="1" applyBorder="1" applyAlignment="1">
      <alignment horizontal="center" vertical="center"/>
    </xf>
    <xf numFmtId="0" fontId="30" fillId="9" borderId="52" xfId="1" applyFont="1" applyFill="1" applyBorder="1" applyAlignment="1">
      <alignment horizontal="center" vertical="center"/>
    </xf>
    <xf numFmtId="0" fontId="30" fillId="9" borderId="57" xfId="1" applyFont="1" applyFill="1" applyBorder="1" applyAlignment="1">
      <alignment horizontal="center" vertical="center"/>
    </xf>
    <xf numFmtId="0" fontId="30" fillId="9" borderId="44" xfId="1" applyFont="1" applyFill="1" applyBorder="1" applyAlignment="1">
      <alignment horizontal="center" vertical="center" wrapText="1"/>
    </xf>
    <xf numFmtId="0" fontId="30" fillId="9" borderId="50" xfId="1" applyFont="1" applyFill="1" applyBorder="1" applyAlignment="1">
      <alignment horizontal="center" vertical="center" wrapText="1"/>
    </xf>
    <xf numFmtId="0" fontId="30" fillId="9" borderId="40" xfId="1" applyFont="1" applyFill="1" applyBorder="1" applyAlignment="1">
      <alignment horizontal="center" vertical="center" wrapText="1"/>
    </xf>
    <xf numFmtId="0" fontId="30" fillId="9" borderId="45" xfId="1" applyFont="1" applyFill="1" applyBorder="1" applyAlignment="1">
      <alignment horizontal="center" vertical="center" wrapText="1"/>
    </xf>
    <xf numFmtId="0" fontId="30" fillId="9" borderId="46" xfId="1" applyFont="1" applyFill="1" applyBorder="1" applyAlignment="1">
      <alignment horizontal="center" vertical="center" wrapText="1"/>
    </xf>
    <xf numFmtId="0" fontId="30" fillId="9" borderId="47" xfId="1" applyFont="1" applyFill="1" applyBorder="1" applyAlignment="1">
      <alignment horizontal="center" vertical="center" wrapText="1"/>
    </xf>
    <xf numFmtId="0" fontId="12" fillId="10" borderId="22" xfId="0" applyFont="1" applyFill="1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22" fillId="10" borderId="6" xfId="15" applyFont="1" applyFill="1" applyBorder="1" applyAlignment="1">
      <alignment horizontal="center" vertical="center"/>
    </xf>
    <xf numFmtId="0" fontId="22" fillId="10" borderId="30" xfId="15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/>
    </xf>
    <xf numFmtId="0" fontId="12" fillId="10" borderId="30" xfId="0" applyFont="1" applyFill="1" applyBorder="1" applyAlignment="1">
      <alignment horizontal="center" vertical="center"/>
    </xf>
    <xf numFmtId="0" fontId="30" fillId="9" borderId="41" xfId="1" applyFont="1" applyFill="1" applyBorder="1" applyAlignment="1">
      <alignment horizontal="center" vertical="center" wrapText="1"/>
    </xf>
    <xf numFmtId="176" fontId="25" fillId="11" borderId="41" xfId="20" applyNumberFormat="1" applyFont="1" applyFill="1" applyBorder="1">
      <alignment horizontal="center" vertical="center"/>
    </xf>
    <xf numFmtId="0" fontId="12" fillId="10" borderId="5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</cellXfs>
  <cellStyles count="21">
    <cellStyle name="% 완료" xfId="12" xr:uid="{0FF4EF51-9B27-442B-BF8B-7A5DF28383D8}"/>
    <cellStyle name="% 완료(계획을 넘어서는) 범례" xfId="14" xr:uid="{BA90B4CB-6486-4FE6-A3A5-5BD84E960295}"/>
    <cellStyle name="기간 값" xfId="8" xr:uid="{29C39213-C0F8-41EB-936E-FF6B2B5634E2}"/>
    <cellStyle name="기간 강조 표시 제어" xfId="7" xr:uid="{DF2986C6-90C2-4C1F-B029-C836E93380DD}"/>
    <cellStyle name="기간 머리글" xfId="19" xr:uid="{923610FE-B2E0-46EF-85F5-642181FFD5C6}"/>
    <cellStyle name="기간 범례" xfId="9" xr:uid="{E3AE66B1-88F3-4AC9-B52E-CDAC45ACEDCD}"/>
    <cellStyle name="레이블" xfId="10" xr:uid="{BD66E004-D4C8-4EC8-8D7B-10DDD293139E}"/>
    <cellStyle name="백분율" xfId="2" builtinId="5"/>
    <cellStyle name="설명 텍스트 2" xfId="6" xr:uid="{F93C8461-9515-4225-8F4E-B3A2FEB3D1E5}"/>
    <cellStyle name="실제 범례" xfId="11" xr:uid="{2EAFF701-2A3B-4B86-BF1A-DA97CE53ADA2}"/>
    <cellStyle name="실제(계획을 넘어서는) 범례" xfId="13" xr:uid="{2F150E53-5C6C-4423-875F-2E3774F20963}"/>
    <cellStyle name="완료율" xfId="20" xr:uid="{8078D7E1-0BC1-4AA2-9525-34F7D87EFFE6}"/>
    <cellStyle name="제목 1 2" xfId="4" xr:uid="{8056D5D8-BD33-479E-AB8D-32330164C56A}"/>
    <cellStyle name="제목 2 2" xfId="15" xr:uid="{FAD46D77-7057-40B1-A0F7-6D548315A0B6}"/>
    <cellStyle name="제목 3 2" xfId="16" xr:uid="{3B376BDB-2711-40B8-AD69-001AF31E5891}"/>
    <cellStyle name="제목 4 2" xfId="17" xr:uid="{077F87DF-CA2F-437A-9F5B-690524398844}"/>
    <cellStyle name="제목 5" xfId="3" xr:uid="{414BF426-D527-49BB-92D1-B3AEE895DB8A}"/>
    <cellStyle name="표준" xfId="0" builtinId="0"/>
    <cellStyle name="표준 2" xfId="5" xr:uid="{F9B72260-8C57-4DA6-89A7-537ACB02D068}"/>
    <cellStyle name="프로젝트 머리글" xfId="18" xr:uid="{6B7409E1-A5D4-4D02-999C-79CAA4D83D65}"/>
    <cellStyle name="활동" xfId="1" xr:uid="{12656055-E052-4606-A6F7-6E8190F842A6}"/>
  </cellStyles>
  <dxfs count="91"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76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76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351FA837-51CA-4713-AF9D-07F8404C24B4}"/>
  </tableStyles>
  <colors>
    <mruColors>
      <color rgb="FFD9D9D9"/>
      <color rgb="FFBFBFBF"/>
      <color rgb="FFDFAFFF"/>
      <color rgb="FFCD72E2"/>
      <color rgb="FFCBCBF3"/>
      <color rgb="FFBCFEB2"/>
      <color rgb="FFF8E0E0"/>
      <color rgb="FFEFB2B2"/>
      <color rgb="FF90FE80"/>
      <color rgb="FF4DFE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Structure" Target="richData/rdrichvaluestructure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28575</xdr:rowOff>
        </xdr:from>
        <xdr:to>
          <xdr:col>10</xdr:col>
          <xdr:colOff>1219200</xdr:colOff>
          <xdr:row>3</xdr:row>
          <xdr:rowOff>295275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프로젝트 정보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5</xdr:row>
          <xdr:rowOff>28575</xdr:rowOff>
        </xdr:from>
        <xdr:to>
          <xdr:col>10</xdr:col>
          <xdr:colOff>1228725</xdr:colOff>
          <xdr:row>5</xdr:row>
          <xdr:rowOff>295275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7</xdr:row>
          <xdr:rowOff>28575</xdr:rowOff>
        </xdr:from>
        <xdr:to>
          <xdr:col>10</xdr:col>
          <xdr:colOff>1247775</xdr:colOff>
          <xdr:row>7</xdr:row>
          <xdr:rowOff>295275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수행사TFT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9</xdr:row>
          <xdr:rowOff>28575</xdr:rowOff>
        </xdr:from>
        <xdr:to>
          <xdr:col>10</xdr:col>
          <xdr:colOff>1247775</xdr:colOff>
          <xdr:row>9</xdr:row>
          <xdr:rowOff>295275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WBS 스케쥴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142875</xdr:rowOff>
        </xdr:from>
        <xdr:to>
          <xdr:col>10</xdr:col>
          <xdr:colOff>1247775</xdr:colOff>
          <xdr:row>1</xdr:row>
          <xdr:rowOff>409575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데이터 새로고침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47625</xdr:rowOff>
        </xdr:from>
        <xdr:to>
          <xdr:col>7</xdr:col>
          <xdr:colOff>0</xdr:colOff>
          <xdr:row>1</xdr:row>
          <xdr:rowOff>304800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28575</xdr:rowOff>
        </xdr:from>
        <xdr:to>
          <xdr:col>2</xdr:col>
          <xdr:colOff>257175</xdr:colOff>
          <xdr:row>4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28575</xdr:rowOff>
        </xdr:from>
        <xdr:to>
          <xdr:col>2</xdr:col>
          <xdr:colOff>257175</xdr:colOff>
          <xdr:row>4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hin, Allie (contracted)" id="{BDB35403-8535-4683-BE28-8DE7FE79955E}" userId="S::ashin3@PMINTL.NET::e9e56a77-fd17-4317-8d25-2023c1a1c058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6EC8823-01A3-4BD0-A378-6EBDA8AE2AC2}" autoFormatId="16" applyNumberFormats="0" applyBorderFormats="0" applyFontFormats="0" applyPatternFormats="0" applyAlignmentFormats="0" applyWidthHeightFormats="0">
  <queryTableRefresh nextId="8">
    <queryTableFields count="5">
      <queryTableField id="3" name="프로젝트일자" tableColumnId="3"/>
      <queryTableField id="4" name="수행일자" tableColumnId="4"/>
      <queryTableField id="5" name="요일" tableColumnId="5"/>
      <queryTableField id="6" name="휴일정보" tableColumnId="6"/>
      <queryTableField id="7" name="수행주차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855A822C-C442-4B45-AC55-C5A185C01B44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071CA2D-04B1-4AE6-B7A1-4066EEF764C8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200B41A9-68C5-4274-B549-DECA68E92122}" autoFormatId="16" applyNumberFormats="0" applyBorderFormats="0" applyFontFormats="0" applyPatternFormats="0" applyAlignmentFormats="0" applyWidthHeightFormats="0">
  <queryTableRefresh nextId="15">
    <queryTableFields count="11">
      <queryTableField id="13" name="인덱스" tableColumnId="1"/>
      <queryTableField id="8" name="성명직급" tableColumnId="8"/>
      <queryTableField id="2" name="팀명" tableColumnId="2"/>
      <queryTableField id="3" name="성명" tableColumnId="3"/>
      <queryTableField id="4" name="성명_영문명" tableColumnId="4"/>
      <queryTableField id="5" name="성명_국문명" tableColumnId="5"/>
      <queryTableField id="6" name="직급" tableColumnId="6"/>
      <queryTableField id="7" name="직책" tableColumnId="7"/>
      <queryTableField id="9" name="메일주소" tableColumnId="9"/>
      <queryTableField id="10" name="상위관리자명" tableColumnId="10"/>
      <queryTableField id="11" name="상위관리자_메일주소" tableColumnId="11"/>
    </queryTableFields>
  </queryTableRefresh>
  <extLst>
    <ext xmlns:x15="http://schemas.microsoft.com/office/spreadsheetml/2010/11/main" uri="{883FBD77-0823-4a55-B5E3-86C4891E6966}">
      <x15:queryTable sourceDataName="쿼리 - Table_전체직원목록"/>
    </ext>
  </extLst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109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9DEF87-FDB7-4023-96B3-E8225728477B}" name="Table_CalendarTotal" displayName="Table_CalendarTotal" ref="B4:F163" tableType="queryTable" totalsRowShown="0" headerRowDxfId="90" dataDxfId="89">
  <autoFilter ref="B4:F163" xr:uid="{EA9DEF87-FDB7-4023-96B3-E8225728477B}"/>
  <tableColumns count="5">
    <tableColumn id="3" xr3:uid="{03D73E3B-A229-446E-A2B2-BC85CD112F27}" uniqueName="3" name="프로젝트일자" queryTableFieldId="3" dataDxfId="88"/>
    <tableColumn id="4" xr3:uid="{51359AD4-2F4E-4CA7-9089-40D72528A0EC}" uniqueName="4" name="수행일자" queryTableFieldId="4" dataDxfId="87"/>
    <tableColumn id="5" xr3:uid="{85A722C8-17C8-4366-BC67-C5E55DF56A4E}" uniqueName="5" name="요일" queryTableFieldId="5" dataDxfId="86"/>
    <tableColumn id="6" xr3:uid="{25F1EEEE-12BE-4679-A8D0-6639C18E85E7}" uniqueName="6" name="휴일정보" queryTableFieldId="6" dataDxfId="85"/>
    <tableColumn id="7" xr3:uid="{725A3DEC-BE0F-402B-BEAF-9CD633166F13}" uniqueName="7" name="수행주차" queryTableFieldId="7" dataDxfId="84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49939D-443A-41A3-B486-4FB5BEA5FE5B}" name="Table_CalendarHD" displayName="Table_CalendarHD" ref="B4:F53" tableType="queryTable" totalsRowShown="0" headerRowDxfId="83" dataDxfId="82">
  <autoFilter ref="B4:F53" xr:uid="{0749939D-443A-41A3-B486-4FB5BEA5FE5B}"/>
  <tableColumns count="5">
    <tableColumn id="1" xr3:uid="{AB8D45C5-19D3-484F-9C23-AFD86E4BA794}" uniqueName="1" name="프로젝트일자" queryTableFieldId="1" dataDxfId="81"/>
    <tableColumn id="2" xr3:uid="{9549D9C2-EB2E-48D5-8D50-74C522070B3E}" uniqueName="2" name="수행일자" queryTableFieldId="2" dataDxfId="80"/>
    <tableColumn id="3" xr3:uid="{484DCDF8-8DFA-4EDA-B812-1DA8A79465CA}" uniqueName="3" name="요일" queryTableFieldId="3" dataDxfId="79"/>
    <tableColumn id="4" xr3:uid="{60476469-BE1D-4941-A10C-3307E7A6719C}" uniqueName="4" name="휴일정보" queryTableFieldId="4" dataDxfId="78"/>
    <tableColumn id="5" xr3:uid="{A23A29AE-624D-46A7-9311-4AAC87F51387}" uniqueName="5" name="수행주차" queryTableFieldId="5" dataDxfId="77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B32C40-C7EE-44F4-9141-D270AB9EDCB1}" name="Table_CalendarWD" displayName="Table_CalendarWD" ref="B4:F114" tableType="queryTable" totalsRowShown="0" headerRowDxfId="76" dataDxfId="75">
  <autoFilter ref="B4:F114" xr:uid="{D7B32C40-C7EE-44F4-9141-D270AB9EDCB1}"/>
  <tableColumns count="5">
    <tableColumn id="1" xr3:uid="{B2D23344-47F3-4E2A-AED6-CE53FC545ADC}" uniqueName="1" name="프로젝트일자" queryTableFieldId="1" dataDxfId="74"/>
    <tableColumn id="2" xr3:uid="{74DAD1C0-6BC1-4D28-A344-1C680A93103C}" uniqueName="2" name="수행일자" queryTableFieldId="2" dataDxfId="73"/>
    <tableColumn id="3" xr3:uid="{CEE9A37F-4EBA-4199-98C9-AAD44B15245A}" uniqueName="3" name="요일" queryTableFieldId="3" dataDxfId="72"/>
    <tableColumn id="4" xr3:uid="{2A9F8E5D-1A6B-4A99-8425-22CDDB69FD79}" uniqueName="4" name="휴일정보" queryTableFieldId="4" dataDxfId="71"/>
    <tableColumn id="5" xr3:uid="{127C3A79-F7DF-407D-B9A3-19E8D84A781A}" uniqueName="5" name="수행주차" queryTableFieldId="5" dataDxfId="70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B5C7DD-D37D-4410-9542-5616E7BAFF48}" name="Table_Project" displayName="Table_Project" ref="B4:N5" totalsRowShown="0" headerRowDxfId="69" dataDxfId="68">
  <autoFilter ref="B4:N5" xr:uid="{2CB5C7DD-D37D-4410-9542-5616E7BAFF48}"/>
  <tableColumns count="13">
    <tableColumn id="6" xr3:uid="{43EB1B0E-0AF4-4734-8565-FA0659279EEA}" name="프로젝트_명칭" dataDxfId="67"/>
    <tableColumn id="1" xr3:uid="{DC2F7906-A876-4411-94C7-2099987E17CD}" name="프로젝트_유형" dataDxfId="66"/>
    <tableColumn id="2" xr3:uid="{957A0452-5332-478D-A9CE-14237ECBDD85}" name="프로젝트_상주여부" dataDxfId="65"/>
    <tableColumn id="15" xr3:uid="{4F3E603C-7CA3-479F-9D17-E93469C9D5B3}" name="프로젝트_시작일자" dataDxfId="64"/>
    <tableColumn id="16" xr3:uid="{6D8E341B-5C65-4B59-9CC8-36980FE05B58}" name="프로젝트_종료일자" dataDxfId="63"/>
    <tableColumn id="9" xr3:uid="{4E7BDDE9-D3C5-49E2-B305-F1F6E97E046A}" name="발주사_회사명" dataDxfId="62"/>
    <tableColumn id="10" xr3:uid="{210D17C1-72D5-415E-A6E4-954E28AD0E58}" name="발주사_업종" dataDxfId="61"/>
    <tableColumn id="11" xr3:uid="{0B984AC6-B3E8-4FB9-8641-0EAFE37157EC}" name="발주사_대표자명" dataDxfId="60"/>
    <tableColumn id="12" xr3:uid="{C9CDDF04-CE8B-48C9-A5BB-EF3EB4BEC11A}" name="발주사_주소" dataDxfId="59"/>
    <tableColumn id="13" xr3:uid="{F986C2EA-EB92-4588-85B2-46A9CDFA22F9}" name="주관사_회사명" dataDxfId="58"/>
    <tableColumn id="14" xr3:uid="{165C0315-B17E-4052-B52C-95E340F528F0}" name="주관사_업종" dataDxfId="57"/>
    <tableColumn id="17" xr3:uid="{C47DEA19-D6E9-4C2F-ADDE-5E41DD81ACA8}" name="주관사_대표자명" dataDxfId="56"/>
    <tableColumn id="18" xr3:uid="{03C4992D-B318-47D1-88E7-AFB1427A301B}" name="주관사_주소" dataDxfId="5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C823B7-1545-4F54-A9F8-A7EFA50474C0}" name="Table_CustTFT" displayName="Table_CustTFT" ref="B4:K12" totalsRowShown="0" headerRowDxfId="54" dataDxfId="53">
  <autoFilter ref="B4:K12" xr:uid="{2CB5C7DD-D37D-4410-9542-5616E7BAFF48}"/>
  <tableColumns count="10">
    <tableColumn id="6" xr3:uid="{ED90A0EA-D0AC-4238-9E04-F4F16EC65426}" name="No." dataDxfId="52"/>
    <tableColumn id="1" xr3:uid="{4D6C5902-CD92-475E-A849-1C94F1E909BA}" name="TFT_역할" dataDxfId="51"/>
    <tableColumn id="2" xr3:uid="{84485846-E056-468D-BAE7-EE252F8858F7}" name="회사명" dataDxfId="50"/>
    <tableColumn id="15" xr3:uid="{CFAD314D-388C-4A36-8736-68EABBF2072F}" name="부서명" dataDxfId="49"/>
    <tableColumn id="16" xr3:uid="{40DD2FB9-1AAD-40E0-B579-0DAEEF86C807}" name="성명" dataDxfId="48"/>
    <tableColumn id="9" xr3:uid="{DADB11D9-4ECD-4961-AD52-1080AC702A74}" name="직위명" dataDxfId="47"/>
    <tableColumn id="10" xr3:uid="{703846AD-8ACE-42DD-B852-E67EB9F25F7A}" name="메일주소" dataDxfId="46"/>
    <tableColumn id="11" xr3:uid="{B58B1735-D30E-4BBB-824F-F691EB8340A4}" name="휴대전화" dataDxfId="45"/>
    <tableColumn id="12" xr3:uid="{C1DC6560-B9AB-428B-98A6-75C9600027BE}" name="담당업무" dataDxfId="44"/>
    <tableColumn id="13" xr3:uid="{B05945B3-EE8D-4362-8430-B4B8D8376567}" name="비고" dataDxfId="43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D53608-420C-452E-B4DF-A742D88A2F73}" name="Table_전체직원목록" displayName="Table_전체직원목록" ref="B4:L66" tableType="queryTable" totalsRowShown="0" headerRowDxfId="42" dataDxfId="41">
  <autoFilter ref="B4:L66" xr:uid="{FED53608-420C-452E-B4DF-A742D88A2F73}"/>
  <tableColumns count="11">
    <tableColumn id="1" xr3:uid="{F5B48EC8-E090-4931-A76F-392E3E2532D6}" uniqueName="1" name="인덱스" queryTableFieldId="13"/>
    <tableColumn id="8" xr3:uid="{D5646F3D-041B-4B9C-B032-41A818FF1F90}" uniqueName="8" name="성명직급" queryTableFieldId="8" dataDxfId="40"/>
    <tableColumn id="2" xr3:uid="{3FE8C7B4-7E6D-4D48-A3C3-872B98C42204}" uniqueName="2" name="팀명" queryTableFieldId="2" dataDxfId="39"/>
    <tableColumn id="3" xr3:uid="{2E0E01AA-2F04-4C9D-9605-84C6538EA102}" uniqueName="3" name="성명" queryTableFieldId="3" dataDxfId="38"/>
    <tableColumn id="4" xr3:uid="{8724B527-66E7-4DD3-BEC2-AB10730B9989}" uniqueName="4" name="성명_영문명" queryTableFieldId="4" dataDxfId="37"/>
    <tableColumn id="5" xr3:uid="{E3C2F20D-7E08-4C5F-B2CD-107F2874CDD0}" uniqueName="5" name="성명_국문명" queryTableFieldId="5" dataDxfId="36"/>
    <tableColumn id="6" xr3:uid="{88473CCB-4842-4600-9F81-67FCD8102771}" uniqueName="6" name="직급" queryTableFieldId="6" dataDxfId="35"/>
    <tableColumn id="7" xr3:uid="{B716D546-07F9-47C8-BDAF-F901CD718BF8}" uniqueName="7" name="직책" queryTableFieldId="7" dataDxfId="34"/>
    <tableColumn id="9" xr3:uid="{8E20F573-F846-4CAD-BAF6-347C57A19A6F}" uniqueName="9" name="메일주소" queryTableFieldId="9" dataDxfId="33"/>
    <tableColumn id="10" xr3:uid="{C628C98A-A3AD-4D12-9F7F-E964C399CD51}" uniqueName="10" name="상위관리자명" queryTableFieldId="10" dataDxfId="32"/>
    <tableColumn id="11" xr3:uid="{A17ABC5E-A75C-4E48-A4AF-A7C4AF4F3CF1}" uniqueName="11" name="상위관리자_메일주소" queryTableFieldId="11" dataDxfId="31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8B77A0E-C1B1-4196-9701-BDB66EFB3EEA}" name="Table_OurTFT" displayName="Table_OurTFT" ref="B4:P15" totalsRowShown="0" headerRowDxfId="30" dataDxfId="29">
  <autoFilter ref="B4:P15" xr:uid="{2CB5C7DD-D37D-4410-9542-5616E7BAFF48}"/>
  <tableColumns count="15">
    <tableColumn id="6" xr3:uid="{59D5F0AE-AAAA-41D8-A82F-0B138250945C}" name="개발자_성명" dataDxfId="28"/>
    <tableColumn id="1" xr3:uid="{F37A6280-C5D3-455D-979E-E7BCF719BE80}" name="개발자_프로젝트역할" dataDxfId="27"/>
    <tableColumn id="2" xr3:uid="{FB325487-799C-4DE7-A8ED-D435935E133F}" name="개발자_개발역할" dataDxfId="26"/>
    <tableColumn id="15" xr3:uid="{7E6D8EF3-133A-44CE-B0C0-56E155B4C073}" name="개발자_상주여부" dataDxfId="25"/>
    <tableColumn id="16" xr3:uid="{40ED752B-44A9-45A1-84FA-5E2375C3DF51}" name="개발자_투입일자" dataDxfId="24"/>
    <tableColumn id="9" xr3:uid="{71E32641-17AF-4391-BCAC-64AB71C9FA3B}" name="개발자_종료일자" dataDxfId="23"/>
    <tableColumn id="3" xr3:uid="{D10E66DC-4189-4A52-B5CE-79CF5D6E2B29}" name="팀명" dataDxfId="22">
      <calculatedColumnFormula>IFERROR(VLOOKUP(Table_OurTFT[[#This Row],[개발자_성명]],Table_전체직원목록[[성명직급]:[상위관리자_메일주소]],2,0),"")</calculatedColumnFormula>
    </tableColumn>
    <tableColumn id="4" xr3:uid="{661EA1C8-F79A-4780-BBE8-6EB76A38D8CA}" name="성명" dataDxfId="21">
      <calculatedColumnFormula>IFERROR(VLOOKUP(Table_OurTFT[[#This Row],[개발자_성명]],Table_전체직원목록[[성명직급]:[상위관리자_메일주소]],3,0),"")</calculatedColumnFormula>
    </tableColumn>
    <tableColumn id="5" xr3:uid="{45D4ABF3-CB8F-4982-A9FA-1C6549828442}" name="성명_영문명" dataDxfId="20">
      <calculatedColumnFormula>IFERROR(VLOOKUP(Table_OurTFT[[#This Row],[개발자_성명]],Table_전체직원목록[[성명직급]:[상위관리자_메일주소]],4,0),"")</calculatedColumnFormula>
    </tableColumn>
    <tableColumn id="7" xr3:uid="{031A3955-5661-47B9-A6AB-D533EB45B73E}" name="성명_국문명" dataDxfId="19">
      <calculatedColumnFormula>IFERROR(VLOOKUP(Table_OurTFT[[#This Row],[개발자_성명]],Table_전체직원목록[[성명직급]:[상위관리자_메일주소]],5,0),"")</calculatedColumnFormula>
    </tableColumn>
    <tableColumn id="8" xr3:uid="{DA94381E-70C7-465F-9AB8-DF8ECE867294}" name="직급" dataDxfId="18">
      <calculatedColumnFormula>IFERROR(VLOOKUP(Table_OurTFT[[#This Row],[개발자_성명]],Table_전체직원목록[[성명직급]:[상위관리자_메일주소]],6,0),"")</calculatedColumnFormula>
    </tableColumn>
    <tableColumn id="10" xr3:uid="{0A03A5E7-D102-4E5E-B5DD-63AC79F8B3BE}" name="직책" dataDxfId="17">
      <calculatedColumnFormula>IFERROR(VLOOKUP(Table_OurTFT[[#This Row],[개발자_성명]],Table_전체직원목록[[성명직급]:[상위관리자_메일주소]],7,0),"")</calculatedColumnFormula>
    </tableColumn>
    <tableColumn id="11" xr3:uid="{D1095775-0CAB-4AF4-9980-CC0ECEB01D9B}" name="메일주소" dataDxfId="16">
      <calculatedColumnFormula>IFERROR(VLOOKUP(Table_OurTFT[[#This Row],[개발자_성명]],Table_전체직원목록[[성명직급]:[상위관리자_메일주소]],8,0),"")</calculatedColumnFormula>
    </tableColumn>
    <tableColumn id="12" xr3:uid="{A368EDB8-75C4-4400-9F56-B4474B9C8D8C}" name="상위관리자명" dataDxfId="15">
      <calculatedColumnFormula>IFERROR(VLOOKUP(Table_OurTFT[[#This Row],[개발자_성명]],Table_전체직원목록[[성명직급]:[상위관리자_메일주소]],9,0),"")</calculatedColumnFormula>
    </tableColumn>
    <tableColumn id="13" xr3:uid="{43BE2E71-EBD3-4ED9-9AFB-8118643F2FD4}" name="상위관리자_메일주소" dataDxfId="14">
      <calculatedColumnFormula>IFERROR(VLOOKUP(Table_OurTFT[[#This Row],[개발자_성명]],Table_전체직원목록[[성명직급]:[상위관리자_메일주소]],10,0),"")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9" dT="2023-08-02T05:29:11.04" personId="{BDB35403-8535-4683-BE28-8DE7FE79955E}" id="{E12EEDEE-C0F6-42EE-8F25-BDFE7324772A}">
    <text>On-Prem -&gt; Cloud 로 SSIS 소스 변경하고 스케쥴링 잘 돌아가는지 확인 (w/ Paras - IBM Team CORIA 담당자)</text>
  </threadedComment>
  <threadedComment ref="G95" dT="2023-08-02T05:29:11.04" personId="{BDB35403-8535-4683-BE28-8DE7FE79955E}" id="{53B78AFF-7836-479E-AC41-07619A6CD656}">
    <text>On-Prem -&gt; Cloud 로 SSIS 소스 변경하고 스케쥴링 잘 돌아가는지 확인 (w/ Paras - IBM Team CORIA 담당자)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CEDD2-4385-4708-9A29-13612C009818}">
  <sheetPr codeName="Sheet3">
    <tabColor rgb="FFFFC000"/>
  </sheetPr>
  <dimension ref="C1:P10"/>
  <sheetViews>
    <sheetView showGridLines="0" view="pageBreakPreview" zoomScale="85" zoomScaleNormal="100" zoomScaleSheetLayoutView="85" workbookViewId="0">
      <selection activeCell="C2" sqref="C2"/>
    </sheetView>
  </sheetViews>
  <sheetFormatPr defaultRowHeight="17.100000000000001" customHeight="1"/>
  <cols>
    <col min="1" max="2" width="1.7109375" customWidth="1"/>
    <col min="3" max="3" width="17.7109375" bestFit="1" customWidth="1"/>
    <col min="4" max="4" width="15.7109375" bestFit="1" customWidth="1"/>
    <col min="5" max="5" width="18.7109375" bestFit="1" customWidth="1"/>
    <col min="6" max="6" width="18.85546875" bestFit="1" customWidth="1"/>
    <col min="7" max="7" width="15.85546875" bestFit="1" customWidth="1"/>
    <col min="8" max="8" width="14.85546875" bestFit="1" customWidth="1"/>
    <col min="9" max="9" width="14.85546875" customWidth="1"/>
    <col min="10" max="10" width="18.7109375" bestFit="1" customWidth="1"/>
    <col min="11" max="11" width="18.85546875" bestFit="1" customWidth="1"/>
    <col min="12" max="13" width="1.7109375" customWidth="1"/>
  </cols>
  <sheetData>
    <row r="1" spans="3:16" ht="9.9499999999999993" customHeight="1"/>
    <row r="2" spans="3:16" ht="38.25">
      <c r="C2" s="121" t="s">
        <v>0</v>
      </c>
      <c r="D2" s="120"/>
      <c r="E2" s="120"/>
      <c r="F2" s="120"/>
    </row>
    <row r="3" spans="3:16" ht="17.100000000000001" customHeight="1">
      <c r="C3" t="s">
        <v>1</v>
      </c>
      <c r="D3" t="s">
        <v>1</v>
      </c>
      <c r="E3" t="s">
        <v>1</v>
      </c>
      <c r="F3" t="s">
        <v>1</v>
      </c>
      <c r="G3" t="s">
        <v>1</v>
      </c>
      <c r="H3" t="s">
        <v>1</v>
      </c>
      <c r="I3" t="s">
        <v>1</v>
      </c>
      <c r="J3" t="s">
        <v>1</v>
      </c>
      <c r="K3" t="s">
        <v>1</v>
      </c>
      <c r="L3" t="s">
        <v>1</v>
      </c>
      <c r="N3" t="s">
        <v>1</v>
      </c>
      <c r="O3" t="s">
        <v>1</v>
      </c>
      <c r="P3" t="s">
        <v>1</v>
      </c>
    </row>
    <row r="4" spans="3:16" ht="25.15" customHeight="1">
      <c r="C4" s="2" t="s">
        <v>2</v>
      </c>
      <c r="D4" s="3"/>
      <c r="E4" s="3"/>
      <c r="F4" s="3"/>
      <c r="G4" s="4"/>
      <c r="H4" s="4"/>
      <c r="I4" s="4"/>
      <c r="J4" s="4"/>
      <c r="K4" s="4"/>
    </row>
    <row r="6" spans="3:16" ht="25.15" customHeight="1">
      <c r="C6" s="2" t="s">
        <v>3</v>
      </c>
      <c r="D6" s="3"/>
      <c r="E6" s="3"/>
      <c r="F6" s="3"/>
      <c r="G6" s="4"/>
      <c r="H6" s="4"/>
      <c r="I6" s="4"/>
      <c r="J6" s="4"/>
      <c r="K6" s="4"/>
    </row>
    <row r="8" spans="3:16" ht="25.15" customHeight="1">
      <c r="C8" s="2" t="s">
        <v>4</v>
      </c>
      <c r="D8" s="3"/>
      <c r="E8" s="3"/>
      <c r="F8" s="3"/>
      <c r="G8" s="4"/>
      <c r="H8" s="4"/>
      <c r="I8" s="4"/>
      <c r="J8" s="4"/>
      <c r="K8" s="4"/>
    </row>
    <row r="10" spans="3:16" ht="25.15" customHeight="1">
      <c r="C10" s="2" t="s">
        <v>5</v>
      </c>
      <c r="D10" s="3"/>
      <c r="E10" s="3"/>
      <c r="F10" s="3"/>
      <c r="G10" s="4"/>
      <c r="H10" s="4"/>
      <c r="I10" s="4"/>
      <c r="J10" s="4"/>
      <c r="K10" s="4"/>
    </row>
  </sheetData>
  <phoneticPr fontId="1" type="noConversion"/>
  <pageMargins left="0.7" right="0.7" top="0.75" bottom="0.75" header="0.3" footer="0.3"/>
  <pageSetup paperSize="9" scale="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단추1_Click">
                <anchor moveWithCells="1" sizeWithCells="1">
                  <from>
                    <xdr:col>10</xdr:col>
                    <xdr:colOff>28575</xdr:colOff>
                    <xdr:row>3</xdr:row>
                    <xdr:rowOff>28575</xdr:rowOff>
                  </from>
                  <to>
                    <xdr:col>10</xdr:col>
                    <xdr:colOff>1219200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단추8_Click">
                <anchor moveWithCells="1" sizeWithCells="1">
                  <from>
                    <xdr:col>10</xdr:col>
                    <xdr:colOff>47625</xdr:colOff>
                    <xdr:row>5</xdr:row>
                    <xdr:rowOff>28575</xdr:rowOff>
                  </from>
                  <to>
                    <xdr:col>10</xdr:col>
                    <xdr:colOff>1228725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단추11_Click">
                <anchor moveWithCells="1" sizeWithCells="1">
                  <from>
                    <xdr:col>10</xdr:col>
                    <xdr:colOff>66675</xdr:colOff>
                    <xdr:row>7</xdr:row>
                    <xdr:rowOff>28575</xdr:rowOff>
                  </from>
                  <to>
                    <xdr:col>10</xdr:col>
                    <xdr:colOff>1247775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단추12_Click">
                <anchor moveWithCells="1" sizeWithCells="1">
                  <from>
                    <xdr:col>10</xdr:col>
                    <xdr:colOff>66675</xdr:colOff>
                    <xdr:row>9</xdr:row>
                    <xdr:rowOff>28575</xdr:rowOff>
                  </from>
                  <to>
                    <xdr:col>10</xdr:col>
                    <xdr:colOff>1247775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단추14_Click">
                <anchor moveWithCells="1" sizeWithCells="1">
                  <from>
                    <xdr:col>10</xdr:col>
                    <xdr:colOff>66675</xdr:colOff>
                    <xdr:row>1</xdr:row>
                    <xdr:rowOff>142875</xdr:rowOff>
                  </from>
                  <to>
                    <xdr:col>10</xdr:col>
                    <xdr:colOff>1247775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946DA-B09F-43AB-94A7-5F3F11C4D853}">
  <sheetPr codeName="Sheet6"/>
  <dimension ref="B1:F177"/>
  <sheetViews>
    <sheetView showGridLines="0" workbookViewId="0">
      <selection activeCell="D10" sqref="D10"/>
    </sheetView>
  </sheetViews>
  <sheetFormatPr defaultRowHeight="17.100000000000001" customHeight="1"/>
  <cols>
    <col min="1" max="1" width="1.7109375" customWidth="1"/>
    <col min="2" max="2" width="17" style="6" bestFit="1" customWidth="1"/>
    <col min="3" max="3" width="13.140625" style="6" bestFit="1" customWidth="1"/>
    <col min="4" max="4" width="9.5703125" style="6" bestFit="1" customWidth="1"/>
    <col min="5" max="6" width="13.140625" style="6" bestFit="1" customWidth="1"/>
    <col min="7" max="8" width="20.5703125" bestFit="1" customWidth="1"/>
  </cols>
  <sheetData>
    <row r="1" spans="2:6" ht="9.9499999999999993" customHeight="1"/>
    <row r="2" spans="2:6" ht="25.15" customHeight="1">
      <c r="B2" s="9" t="s">
        <v>6</v>
      </c>
      <c r="C2" s="9"/>
      <c r="D2" s="9"/>
      <c r="E2" s="9"/>
      <c r="F2" s="9"/>
    </row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45089</v>
      </c>
      <c r="C5" s="6" t="s">
        <v>12</v>
      </c>
      <c r="D5" s="6" t="s">
        <v>13</v>
      </c>
      <c r="E5" s="6" t="s">
        <v>1</v>
      </c>
      <c r="F5" s="6" t="s">
        <v>14</v>
      </c>
    </row>
    <row r="6" spans="2:6" ht="13.5">
      <c r="B6" s="14">
        <v>45090</v>
      </c>
      <c r="C6" s="6" t="s">
        <v>15</v>
      </c>
      <c r="D6" s="6" t="s">
        <v>16</v>
      </c>
      <c r="E6" s="6" t="s">
        <v>1</v>
      </c>
      <c r="F6" s="6" t="s">
        <v>14</v>
      </c>
    </row>
    <row r="7" spans="2:6" ht="13.5">
      <c r="B7" s="14">
        <v>45091</v>
      </c>
      <c r="C7" s="6" t="s">
        <v>17</v>
      </c>
      <c r="D7" s="6" t="s">
        <v>18</v>
      </c>
      <c r="E7" s="6" t="s">
        <v>1</v>
      </c>
      <c r="F7" s="6" t="s">
        <v>14</v>
      </c>
    </row>
    <row r="8" spans="2:6" ht="13.5">
      <c r="B8" s="14">
        <v>45092</v>
      </c>
      <c r="C8" s="6" t="s">
        <v>19</v>
      </c>
      <c r="D8" s="6" t="s">
        <v>20</v>
      </c>
      <c r="E8" s="6" t="s">
        <v>1</v>
      </c>
      <c r="F8" s="6" t="s">
        <v>14</v>
      </c>
    </row>
    <row r="9" spans="2:6" ht="13.5">
      <c r="B9" s="14">
        <v>45093</v>
      </c>
      <c r="C9" s="6" t="s">
        <v>21</v>
      </c>
      <c r="D9" s="6" t="s">
        <v>22</v>
      </c>
      <c r="E9" s="6" t="s">
        <v>1</v>
      </c>
      <c r="F9" s="6" t="s">
        <v>14</v>
      </c>
    </row>
    <row r="10" spans="2:6" ht="13.5">
      <c r="B10" s="14">
        <v>45094</v>
      </c>
      <c r="C10" s="6" t="s">
        <v>23</v>
      </c>
      <c r="D10" s="6" t="s">
        <v>24</v>
      </c>
      <c r="E10" s="6" t="s">
        <v>25</v>
      </c>
      <c r="F10" s="6" t="s">
        <v>14</v>
      </c>
    </row>
    <row r="11" spans="2:6" ht="13.5">
      <c r="B11" s="14">
        <v>45095</v>
      </c>
      <c r="C11" s="6" t="s">
        <v>26</v>
      </c>
      <c r="D11" s="6" t="s">
        <v>27</v>
      </c>
      <c r="E11" s="6" t="s">
        <v>28</v>
      </c>
      <c r="F11" s="6" t="s">
        <v>29</v>
      </c>
    </row>
    <row r="12" spans="2:6" ht="13.5">
      <c r="B12" s="14">
        <v>45096</v>
      </c>
      <c r="C12" s="6" t="s">
        <v>30</v>
      </c>
      <c r="D12" s="6" t="s">
        <v>13</v>
      </c>
      <c r="E12" s="6" t="s">
        <v>1</v>
      </c>
      <c r="F12" s="6" t="s">
        <v>29</v>
      </c>
    </row>
    <row r="13" spans="2:6" ht="13.5">
      <c r="B13" s="14">
        <v>45097</v>
      </c>
      <c r="C13" s="6" t="s">
        <v>31</v>
      </c>
      <c r="D13" s="6" t="s">
        <v>16</v>
      </c>
      <c r="E13" s="6" t="s">
        <v>1</v>
      </c>
      <c r="F13" s="6" t="s">
        <v>29</v>
      </c>
    </row>
    <row r="14" spans="2:6" ht="13.5">
      <c r="B14" s="14">
        <v>45098</v>
      </c>
      <c r="C14" s="6" t="s">
        <v>32</v>
      </c>
      <c r="D14" s="6" t="s">
        <v>18</v>
      </c>
      <c r="E14" s="6" t="s">
        <v>1</v>
      </c>
      <c r="F14" s="6" t="s">
        <v>29</v>
      </c>
    </row>
    <row r="15" spans="2:6" ht="13.5">
      <c r="B15" s="14">
        <v>45099</v>
      </c>
      <c r="C15" s="6" t="s">
        <v>33</v>
      </c>
      <c r="D15" s="6" t="s">
        <v>20</v>
      </c>
      <c r="E15" s="6" t="s">
        <v>1</v>
      </c>
      <c r="F15" s="6" t="s">
        <v>29</v>
      </c>
    </row>
    <row r="16" spans="2:6" ht="13.5">
      <c r="B16" s="14">
        <v>45100</v>
      </c>
      <c r="C16" s="6" t="s">
        <v>34</v>
      </c>
      <c r="D16" s="6" t="s">
        <v>22</v>
      </c>
      <c r="E16" s="6" t="s">
        <v>1</v>
      </c>
      <c r="F16" s="6" t="s">
        <v>29</v>
      </c>
    </row>
    <row r="17" spans="2:6" ht="13.5">
      <c r="B17" s="14">
        <v>45101</v>
      </c>
      <c r="C17" s="6" t="s">
        <v>35</v>
      </c>
      <c r="D17" s="6" t="s">
        <v>24</v>
      </c>
      <c r="E17" s="6" t="s">
        <v>25</v>
      </c>
      <c r="F17" s="6" t="s">
        <v>29</v>
      </c>
    </row>
    <row r="18" spans="2:6" ht="13.5">
      <c r="B18" s="14">
        <v>45102</v>
      </c>
      <c r="C18" s="6" t="s">
        <v>36</v>
      </c>
      <c r="D18" s="6" t="s">
        <v>27</v>
      </c>
      <c r="E18" s="6" t="s">
        <v>28</v>
      </c>
      <c r="F18" s="6" t="s">
        <v>37</v>
      </c>
    </row>
    <row r="19" spans="2:6" ht="13.5">
      <c r="B19" s="14">
        <v>45103</v>
      </c>
      <c r="C19" s="6" t="s">
        <v>38</v>
      </c>
      <c r="D19" s="6" t="s">
        <v>13</v>
      </c>
      <c r="E19" s="6" t="s">
        <v>1</v>
      </c>
      <c r="F19" s="6" t="s">
        <v>37</v>
      </c>
    </row>
    <row r="20" spans="2:6" ht="13.5">
      <c r="B20" s="14">
        <v>45104</v>
      </c>
      <c r="C20" s="6" t="s">
        <v>39</v>
      </c>
      <c r="D20" s="6" t="s">
        <v>16</v>
      </c>
      <c r="E20" s="6" t="s">
        <v>1</v>
      </c>
      <c r="F20" s="6" t="s">
        <v>37</v>
      </c>
    </row>
    <row r="21" spans="2:6" ht="13.5">
      <c r="B21" s="14">
        <v>45105</v>
      </c>
      <c r="C21" s="6" t="s">
        <v>40</v>
      </c>
      <c r="D21" s="6" t="s">
        <v>18</v>
      </c>
      <c r="E21" s="6" t="s">
        <v>1</v>
      </c>
      <c r="F21" s="6" t="s">
        <v>37</v>
      </c>
    </row>
    <row r="22" spans="2:6" ht="13.5">
      <c r="B22" s="14">
        <v>45106</v>
      </c>
      <c r="C22" s="6" t="s">
        <v>41</v>
      </c>
      <c r="D22" s="6" t="s">
        <v>20</v>
      </c>
      <c r="E22" s="6" t="s">
        <v>1</v>
      </c>
      <c r="F22" s="6" t="s">
        <v>37</v>
      </c>
    </row>
    <row r="23" spans="2:6" ht="13.5">
      <c r="B23" s="14">
        <v>45107</v>
      </c>
      <c r="C23" s="6" t="s">
        <v>42</v>
      </c>
      <c r="D23" s="6" t="s">
        <v>22</v>
      </c>
      <c r="E23" s="6" t="s">
        <v>1</v>
      </c>
      <c r="F23" s="6" t="s">
        <v>37</v>
      </c>
    </row>
    <row r="24" spans="2:6" ht="13.5">
      <c r="B24" s="14">
        <v>45108</v>
      </c>
      <c r="C24" s="6" t="s">
        <v>43</v>
      </c>
      <c r="D24" s="6" t="s">
        <v>24</v>
      </c>
      <c r="E24" s="6" t="s">
        <v>25</v>
      </c>
      <c r="F24" s="6" t="s">
        <v>37</v>
      </c>
    </row>
    <row r="25" spans="2:6" ht="13.5">
      <c r="B25" s="14">
        <v>45109</v>
      </c>
      <c r="C25" s="6" t="s">
        <v>44</v>
      </c>
      <c r="D25" s="6" t="s">
        <v>27</v>
      </c>
      <c r="E25" s="6" t="s">
        <v>28</v>
      </c>
      <c r="F25" s="6" t="s">
        <v>45</v>
      </c>
    </row>
    <row r="26" spans="2:6" ht="13.5">
      <c r="B26" s="14">
        <v>45110</v>
      </c>
      <c r="C26" s="6" t="s">
        <v>46</v>
      </c>
      <c r="D26" s="6" t="s">
        <v>13</v>
      </c>
      <c r="E26" s="6" t="s">
        <v>1</v>
      </c>
      <c r="F26" s="6" t="s">
        <v>45</v>
      </c>
    </row>
    <row r="27" spans="2:6" ht="13.5">
      <c r="B27" s="14">
        <v>45111</v>
      </c>
      <c r="C27" s="6" t="s">
        <v>47</v>
      </c>
      <c r="D27" s="6" t="s">
        <v>16</v>
      </c>
      <c r="E27" s="6" t="s">
        <v>1</v>
      </c>
      <c r="F27" s="6" t="s">
        <v>45</v>
      </c>
    </row>
    <row r="28" spans="2:6" ht="13.5">
      <c r="B28" s="14">
        <v>45112</v>
      </c>
      <c r="C28" s="6" t="s">
        <v>48</v>
      </c>
      <c r="D28" s="6" t="s">
        <v>18</v>
      </c>
      <c r="E28" s="6" t="s">
        <v>1</v>
      </c>
      <c r="F28" s="6" t="s">
        <v>45</v>
      </c>
    </row>
    <row r="29" spans="2:6" ht="13.5">
      <c r="B29" s="14">
        <v>45113</v>
      </c>
      <c r="C29" s="6" t="s">
        <v>49</v>
      </c>
      <c r="D29" s="6" t="s">
        <v>20</v>
      </c>
      <c r="E29" s="6" t="s">
        <v>1</v>
      </c>
      <c r="F29" s="6" t="s">
        <v>45</v>
      </c>
    </row>
    <row r="30" spans="2:6" ht="13.5">
      <c r="B30" s="14">
        <v>45114</v>
      </c>
      <c r="C30" s="6" t="s">
        <v>50</v>
      </c>
      <c r="D30" s="6" t="s">
        <v>22</v>
      </c>
      <c r="E30" s="6" t="s">
        <v>1</v>
      </c>
      <c r="F30" s="6" t="s">
        <v>45</v>
      </c>
    </row>
    <row r="31" spans="2:6" ht="13.5">
      <c r="B31" s="14">
        <v>45115</v>
      </c>
      <c r="C31" s="6" t="s">
        <v>51</v>
      </c>
      <c r="D31" s="6" t="s">
        <v>24</v>
      </c>
      <c r="E31" s="6" t="s">
        <v>25</v>
      </c>
      <c r="F31" s="6" t="s">
        <v>45</v>
      </c>
    </row>
    <row r="32" spans="2:6" ht="13.5">
      <c r="B32" s="14">
        <v>45116</v>
      </c>
      <c r="C32" s="6" t="s">
        <v>52</v>
      </c>
      <c r="D32" s="6" t="s">
        <v>27</v>
      </c>
      <c r="E32" s="6" t="s">
        <v>28</v>
      </c>
      <c r="F32" s="6" t="s">
        <v>53</v>
      </c>
    </row>
    <row r="33" spans="2:6" ht="13.5">
      <c r="B33" s="14">
        <v>45117</v>
      </c>
      <c r="C33" s="6" t="s">
        <v>54</v>
      </c>
      <c r="D33" s="6" t="s">
        <v>13</v>
      </c>
      <c r="E33" s="6" t="s">
        <v>1</v>
      </c>
      <c r="F33" s="6" t="s">
        <v>53</v>
      </c>
    </row>
    <row r="34" spans="2:6" ht="13.5">
      <c r="B34" s="14">
        <v>45118</v>
      </c>
      <c r="C34" s="6" t="s">
        <v>55</v>
      </c>
      <c r="D34" s="6" t="s">
        <v>16</v>
      </c>
      <c r="E34" s="6" t="s">
        <v>1</v>
      </c>
      <c r="F34" s="6" t="s">
        <v>53</v>
      </c>
    </row>
    <row r="35" spans="2:6" ht="13.5">
      <c r="B35" s="14">
        <v>45119</v>
      </c>
      <c r="C35" s="6" t="s">
        <v>56</v>
      </c>
      <c r="D35" s="6" t="s">
        <v>18</v>
      </c>
      <c r="E35" s="6" t="s">
        <v>1</v>
      </c>
      <c r="F35" s="6" t="s">
        <v>53</v>
      </c>
    </row>
    <row r="36" spans="2:6" ht="13.5">
      <c r="B36" s="14">
        <v>45120</v>
      </c>
      <c r="C36" s="6" t="s">
        <v>57</v>
      </c>
      <c r="D36" s="6" t="s">
        <v>20</v>
      </c>
      <c r="E36" s="6" t="s">
        <v>1</v>
      </c>
      <c r="F36" s="6" t="s">
        <v>53</v>
      </c>
    </row>
    <row r="37" spans="2:6" ht="13.5">
      <c r="B37" s="14">
        <v>45121</v>
      </c>
      <c r="C37" s="6" t="s">
        <v>58</v>
      </c>
      <c r="D37" s="6" t="s">
        <v>22</v>
      </c>
      <c r="E37" s="6" t="s">
        <v>1</v>
      </c>
      <c r="F37" s="6" t="s">
        <v>53</v>
      </c>
    </row>
    <row r="38" spans="2:6" ht="13.5">
      <c r="B38" s="14">
        <v>45122</v>
      </c>
      <c r="C38" s="6" t="s">
        <v>59</v>
      </c>
      <c r="D38" s="6" t="s">
        <v>24</v>
      </c>
      <c r="E38" s="6" t="s">
        <v>25</v>
      </c>
      <c r="F38" s="6" t="s">
        <v>53</v>
      </c>
    </row>
    <row r="39" spans="2:6" ht="13.5">
      <c r="B39" s="14">
        <v>45123</v>
      </c>
      <c r="C39" s="6" t="s">
        <v>60</v>
      </c>
      <c r="D39" s="6" t="s">
        <v>27</v>
      </c>
      <c r="E39" s="6" t="s">
        <v>28</v>
      </c>
      <c r="F39" s="6" t="s">
        <v>61</v>
      </c>
    </row>
    <row r="40" spans="2:6" ht="13.5">
      <c r="B40" s="14">
        <v>45124</v>
      </c>
      <c r="C40" s="6" t="s">
        <v>62</v>
      </c>
      <c r="D40" s="6" t="s">
        <v>13</v>
      </c>
      <c r="E40" s="6" t="s">
        <v>1</v>
      </c>
      <c r="F40" s="6" t="s">
        <v>61</v>
      </c>
    </row>
    <row r="41" spans="2:6" ht="13.5">
      <c r="B41" s="14">
        <v>45125</v>
      </c>
      <c r="C41" s="6" t="s">
        <v>63</v>
      </c>
      <c r="D41" s="6" t="s">
        <v>16</v>
      </c>
      <c r="E41" s="6" t="s">
        <v>1</v>
      </c>
      <c r="F41" s="6" t="s">
        <v>61</v>
      </c>
    </row>
    <row r="42" spans="2:6" ht="13.5">
      <c r="B42" s="14">
        <v>45126</v>
      </c>
      <c r="C42" s="6" t="s">
        <v>64</v>
      </c>
      <c r="D42" s="6" t="s">
        <v>18</v>
      </c>
      <c r="E42" s="6" t="s">
        <v>1</v>
      </c>
      <c r="F42" s="6" t="s">
        <v>61</v>
      </c>
    </row>
    <row r="43" spans="2:6" ht="13.5">
      <c r="B43" s="14">
        <v>45127</v>
      </c>
      <c r="C43" s="6" t="s">
        <v>65</v>
      </c>
      <c r="D43" s="6" t="s">
        <v>20</v>
      </c>
      <c r="E43" s="6" t="s">
        <v>1</v>
      </c>
      <c r="F43" s="6" t="s">
        <v>61</v>
      </c>
    </row>
    <row r="44" spans="2:6" ht="13.5">
      <c r="B44" s="14">
        <v>45128</v>
      </c>
      <c r="C44" s="6" t="s">
        <v>66</v>
      </c>
      <c r="D44" s="6" t="s">
        <v>22</v>
      </c>
      <c r="E44" s="6" t="s">
        <v>1</v>
      </c>
      <c r="F44" s="6" t="s">
        <v>61</v>
      </c>
    </row>
    <row r="45" spans="2:6" ht="13.5">
      <c r="B45" s="14">
        <v>45129</v>
      </c>
      <c r="C45" s="6" t="s">
        <v>67</v>
      </c>
      <c r="D45" s="6" t="s">
        <v>24</v>
      </c>
      <c r="E45" s="6" t="s">
        <v>25</v>
      </c>
      <c r="F45" s="6" t="s">
        <v>61</v>
      </c>
    </row>
    <row r="46" spans="2:6" ht="13.5">
      <c r="B46" s="14">
        <v>45130</v>
      </c>
      <c r="C46" s="6" t="s">
        <v>68</v>
      </c>
      <c r="D46" s="6" t="s">
        <v>27</v>
      </c>
      <c r="E46" s="6" t="s">
        <v>28</v>
      </c>
      <c r="F46" s="6" t="s">
        <v>69</v>
      </c>
    </row>
    <row r="47" spans="2:6" ht="13.5">
      <c r="B47" s="14">
        <v>45131</v>
      </c>
      <c r="C47" s="6" t="s">
        <v>70</v>
      </c>
      <c r="D47" s="6" t="s">
        <v>13</v>
      </c>
      <c r="E47" s="6" t="s">
        <v>1</v>
      </c>
      <c r="F47" s="6" t="s">
        <v>69</v>
      </c>
    </row>
    <row r="48" spans="2:6" ht="13.5">
      <c r="B48" s="14">
        <v>45132</v>
      </c>
      <c r="C48" s="6" t="s">
        <v>71</v>
      </c>
      <c r="D48" s="6" t="s">
        <v>16</v>
      </c>
      <c r="E48" s="6" t="s">
        <v>1</v>
      </c>
      <c r="F48" s="6" t="s">
        <v>69</v>
      </c>
    </row>
    <row r="49" spans="2:6" ht="13.5">
      <c r="B49" s="14">
        <v>45133</v>
      </c>
      <c r="C49" s="6" t="s">
        <v>72</v>
      </c>
      <c r="D49" s="6" t="s">
        <v>18</v>
      </c>
      <c r="E49" s="6" t="s">
        <v>1</v>
      </c>
      <c r="F49" s="6" t="s">
        <v>69</v>
      </c>
    </row>
    <row r="50" spans="2:6" ht="13.5">
      <c r="B50" s="14">
        <v>45134</v>
      </c>
      <c r="C50" s="6" t="s">
        <v>73</v>
      </c>
      <c r="D50" s="6" t="s">
        <v>20</v>
      </c>
      <c r="E50" s="6" t="s">
        <v>1</v>
      </c>
      <c r="F50" s="6" t="s">
        <v>69</v>
      </c>
    </row>
    <row r="51" spans="2:6" ht="13.5">
      <c r="B51" s="14">
        <v>45135</v>
      </c>
      <c r="C51" s="6" t="s">
        <v>74</v>
      </c>
      <c r="D51" s="6" t="s">
        <v>22</v>
      </c>
      <c r="E51" s="6" t="s">
        <v>1</v>
      </c>
      <c r="F51" s="6" t="s">
        <v>69</v>
      </c>
    </row>
    <row r="52" spans="2:6" ht="13.5">
      <c r="B52" s="14">
        <v>45136</v>
      </c>
      <c r="C52" s="6" t="s">
        <v>75</v>
      </c>
      <c r="D52" s="6" t="s">
        <v>24</v>
      </c>
      <c r="E52" s="6" t="s">
        <v>25</v>
      </c>
      <c r="F52" s="6" t="s">
        <v>69</v>
      </c>
    </row>
    <row r="53" spans="2:6" ht="13.5">
      <c r="B53" s="14">
        <v>45137</v>
      </c>
      <c r="C53" s="6" t="s">
        <v>76</v>
      </c>
      <c r="D53" s="6" t="s">
        <v>27</v>
      </c>
      <c r="E53" s="6" t="s">
        <v>28</v>
      </c>
      <c r="F53" s="6" t="s">
        <v>77</v>
      </c>
    </row>
    <row r="54" spans="2:6" ht="13.5">
      <c r="B54" s="14">
        <v>45138</v>
      </c>
      <c r="C54" s="6" t="s">
        <v>78</v>
      </c>
      <c r="D54" s="6" t="s">
        <v>13</v>
      </c>
      <c r="E54" s="6" t="s">
        <v>1</v>
      </c>
      <c r="F54" s="6" t="s">
        <v>77</v>
      </c>
    </row>
    <row r="55" spans="2:6" ht="13.5">
      <c r="B55" s="14">
        <v>45139</v>
      </c>
      <c r="C55" s="6" t="s">
        <v>79</v>
      </c>
      <c r="D55" s="6" t="s">
        <v>16</v>
      </c>
      <c r="E55" s="6" t="s">
        <v>1</v>
      </c>
      <c r="F55" s="6" t="s">
        <v>77</v>
      </c>
    </row>
    <row r="56" spans="2:6" ht="13.5">
      <c r="B56" s="14">
        <v>45140</v>
      </c>
      <c r="C56" s="6" t="s">
        <v>80</v>
      </c>
      <c r="D56" s="6" t="s">
        <v>18</v>
      </c>
      <c r="E56" s="6" t="s">
        <v>1</v>
      </c>
      <c r="F56" s="6" t="s">
        <v>77</v>
      </c>
    </row>
    <row r="57" spans="2:6" ht="13.5">
      <c r="B57" s="14">
        <v>45141</v>
      </c>
      <c r="C57" s="6" t="s">
        <v>81</v>
      </c>
      <c r="D57" s="6" t="s">
        <v>20</v>
      </c>
      <c r="E57" s="6" t="s">
        <v>1</v>
      </c>
      <c r="F57" s="6" t="s">
        <v>77</v>
      </c>
    </row>
    <row r="58" spans="2:6" ht="13.5">
      <c r="B58" s="14">
        <v>45142</v>
      </c>
      <c r="C58" s="6" t="s">
        <v>82</v>
      </c>
      <c r="D58" s="6" t="s">
        <v>22</v>
      </c>
      <c r="E58" s="6" t="s">
        <v>1</v>
      </c>
      <c r="F58" s="6" t="s">
        <v>77</v>
      </c>
    </row>
    <row r="59" spans="2:6" ht="13.5">
      <c r="B59" s="14">
        <v>45143</v>
      </c>
      <c r="C59" s="6" t="s">
        <v>83</v>
      </c>
      <c r="D59" s="6" t="s">
        <v>24</v>
      </c>
      <c r="E59" s="6" t="s">
        <v>25</v>
      </c>
      <c r="F59" s="6" t="s">
        <v>77</v>
      </c>
    </row>
    <row r="60" spans="2:6" ht="13.5">
      <c r="B60" s="14">
        <v>45144</v>
      </c>
      <c r="C60" s="6" t="s">
        <v>84</v>
      </c>
      <c r="D60" s="6" t="s">
        <v>27</v>
      </c>
      <c r="E60" s="6" t="s">
        <v>28</v>
      </c>
      <c r="F60" s="6" t="s">
        <v>85</v>
      </c>
    </row>
    <row r="61" spans="2:6" ht="13.5">
      <c r="B61" s="14">
        <v>45145</v>
      </c>
      <c r="C61" s="6" t="s">
        <v>86</v>
      </c>
      <c r="D61" s="6" t="s">
        <v>13</v>
      </c>
      <c r="E61" s="6" t="s">
        <v>1</v>
      </c>
      <c r="F61" s="6" t="s">
        <v>85</v>
      </c>
    </row>
    <row r="62" spans="2:6" ht="13.5">
      <c r="B62" s="14">
        <v>45146</v>
      </c>
      <c r="C62" s="6" t="s">
        <v>87</v>
      </c>
      <c r="D62" s="6" t="s">
        <v>16</v>
      </c>
      <c r="E62" s="6" t="s">
        <v>1</v>
      </c>
      <c r="F62" s="6" t="s">
        <v>85</v>
      </c>
    </row>
    <row r="63" spans="2:6" ht="13.5">
      <c r="B63" s="14">
        <v>45147</v>
      </c>
      <c r="C63" s="6" t="s">
        <v>88</v>
      </c>
      <c r="D63" s="6" t="s">
        <v>18</v>
      </c>
      <c r="E63" s="6" t="s">
        <v>1</v>
      </c>
      <c r="F63" s="6" t="s">
        <v>85</v>
      </c>
    </row>
    <row r="64" spans="2:6" ht="13.5">
      <c r="B64" s="14">
        <v>45148</v>
      </c>
      <c r="C64" s="6" t="s">
        <v>89</v>
      </c>
      <c r="D64" s="6" t="s">
        <v>20</v>
      </c>
      <c r="E64" s="6" t="s">
        <v>1</v>
      </c>
      <c r="F64" s="6" t="s">
        <v>85</v>
      </c>
    </row>
    <row r="65" spans="2:6" ht="13.5">
      <c r="B65" s="14">
        <v>45149</v>
      </c>
      <c r="C65" s="6" t="s">
        <v>90</v>
      </c>
      <c r="D65" s="6" t="s">
        <v>22</v>
      </c>
      <c r="E65" s="6" t="s">
        <v>1</v>
      </c>
      <c r="F65" s="6" t="s">
        <v>85</v>
      </c>
    </row>
    <row r="66" spans="2:6" ht="13.5">
      <c r="B66" s="14">
        <v>45150</v>
      </c>
      <c r="C66" s="6" t="s">
        <v>91</v>
      </c>
      <c r="D66" s="6" t="s">
        <v>24</v>
      </c>
      <c r="E66" s="6" t="s">
        <v>25</v>
      </c>
      <c r="F66" s="6" t="s">
        <v>85</v>
      </c>
    </row>
    <row r="67" spans="2:6" ht="13.5">
      <c r="B67" s="14">
        <v>45151</v>
      </c>
      <c r="C67" s="6" t="s">
        <v>92</v>
      </c>
      <c r="D67" s="6" t="s">
        <v>27</v>
      </c>
      <c r="E67" s="6" t="s">
        <v>28</v>
      </c>
      <c r="F67" s="6" t="s">
        <v>93</v>
      </c>
    </row>
    <row r="68" spans="2:6" ht="13.5">
      <c r="B68" s="14">
        <v>45152</v>
      </c>
      <c r="C68" s="6" t="s">
        <v>94</v>
      </c>
      <c r="D68" s="6" t="s">
        <v>13</v>
      </c>
      <c r="E68" s="6" t="s">
        <v>1</v>
      </c>
      <c r="F68" s="6" t="s">
        <v>93</v>
      </c>
    </row>
    <row r="69" spans="2:6" ht="13.5">
      <c r="B69" s="14">
        <v>45153</v>
      </c>
      <c r="C69" s="6" t="s">
        <v>95</v>
      </c>
      <c r="D69" s="6" t="s">
        <v>16</v>
      </c>
      <c r="E69" s="6" t="s">
        <v>96</v>
      </c>
      <c r="F69" s="6" t="s">
        <v>93</v>
      </c>
    </row>
    <row r="70" spans="2:6" ht="13.5">
      <c r="B70" s="14">
        <v>45154</v>
      </c>
      <c r="C70" s="6" t="s">
        <v>97</v>
      </c>
      <c r="D70" s="6" t="s">
        <v>18</v>
      </c>
      <c r="E70" s="6" t="s">
        <v>1</v>
      </c>
      <c r="F70" s="6" t="s">
        <v>93</v>
      </c>
    </row>
    <row r="71" spans="2:6" ht="13.5">
      <c r="B71" s="14">
        <v>45155</v>
      </c>
      <c r="C71" s="6" t="s">
        <v>98</v>
      </c>
      <c r="D71" s="6" t="s">
        <v>20</v>
      </c>
      <c r="E71" s="6" t="s">
        <v>1</v>
      </c>
      <c r="F71" s="6" t="s">
        <v>93</v>
      </c>
    </row>
    <row r="72" spans="2:6" ht="13.5">
      <c r="B72" s="14">
        <v>45156</v>
      </c>
      <c r="C72" s="6" t="s">
        <v>99</v>
      </c>
      <c r="D72" s="6" t="s">
        <v>22</v>
      </c>
      <c r="E72" s="6" t="s">
        <v>1</v>
      </c>
      <c r="F72" s="6" t="s">
        <v>93</v>
      </c>
    </row>
    <row r="73" spans="2:6" ht="13.5">
      <c r="B73" s="14">
        <v>45157</v>
      </c>
      <c r="C73" s="6" t="s">
        <v>100</v>
      </c>
      <c r="D73" s="6" t="s">
        <v>24</v>
      </c>
      <c r="E73" s="6" t="s">
        <v>25</v>
      </c>
      <c r="F73" s="6" t="s">
        <v>93</v>
      </c>
    </row>
    <row r="74" spans="2:6" ht="13.5">
      <c r="B74" s="14">
        <v>45158</v>
      </c>
      <c r="C74" s="6" t="s">
        <v>101</v>
      </c>
      <c r="D74" s="6" t="s">
        <v>27</v>
      </c>
      <c r="E74" s="6" t="s">
        <v>28</v>
      </c>
      <c r="F74" s="6" t="s">
        <v>102</v>
      </c>
    </row>
    <row r="75" spans="2:6" ht="13.5">
      <c r="B75" s="14">
        <v>45159</v>
      </c>
      <c r="C75" s="6" t="s">
        <v>103</v>
      </c>
      <c r="D75" s="6" t="s">
        <v>13</v>
      </c>
      <c r="E75" s="6" t="s">
        <v>1</v>
      </c>
      <c r="F75" s="6" t="s">
        <v>102</v>
      </c>
    </row>
    <row r="76" spans="2:6" ht="13.5">
      <c r="B76" s="14">
        <v>45160</v>
      </c>
      <c r="C76" s="6" t="s">
        <v>104</v>
      </c>
      <c r="D76" s="6" t="s">
        <v>16</v>
      </c>
      <c r="E76" s="6" t="s">
        <v>1</v>
      </c>
      <c r="F76" s="6" t="s">
        <v>102</v>
      </c>
    </row>
    <row r="77" spans="2:6" ht="13.5">
      <c r="B77" s="14">
        <v>45161</v>
      </c>
      <c r="C77" s="6" t="s">
        <v>105</v>
      </c>
      <c r="D77" s="6" t="s">
        <v>18</v>
      </c>
      <c r="E77" s="6" t="s">
        <v>1</v>
      </c>
      <c r="F77" s="6" t="s">
        <v>102</v>
      </c>
    </row>
    <row r="78" spans="2:6" ht="13.5">
      <c r="B78" s="14">
        <v>45162</v>
      </c>
      <c r="C78" s="6" t="s">
        <v>106</v>
      </c>
      <c r="D78" s="6" t="s">
        <v>20</v>
      </c>
      <c r="E78" s="6" t="s">
        <v>1</v>
      </c>
      <c r="F78" s="6" t="s">
        <v>102</v>
      </c>
    </row>
    <row r="79" spans="2:6" ht="13.5">
      <c r="B79" s="14">
        <v>45163</v>
      </c>
      <c r="C79" s="6" t="s">
        <v>107</v>
      </c>
      <c r="D79" s="6" t="s">
        <v>22</v>
      </c>
      <c r="E79" s="6" t="s">
        <v>1</v>
      </c>
      <c r="F79" s="6" t="s">
        <v>102</v>
      </c>
    </row>
    <row r="80" spans="2:6" ht="13.5">
      <c r="B80" s="14">
        <v>45164</v>
      </c>
      <c r="C80" s="6" t="s">
        <v>108</v>
      </c>
      <c r="D80" s="6" t="s">
        <v>24</v>
      </c>
      <c r="E80" s="6" t="s">
        <v>25</v>
      </c>
      <c r="F80" s="6" t="s">
        <v>102</v>
      </c>
    </row>
    <row r="81" spans="2:6" ht="13.5">
      <c r="B81" s="14">
        <v>45165</v>
      </c>
      <c r="C81" s="6" t="s">
        <v>109</v>
      </c>
      <c r="D81" s="6" t="s">
        <v>27</v>
      </c>
      <c r="E81" s="6" t="s">
        <v>28</v>
      </c>
      <c r="F81" s="6" t="s">
        <v>110</v>
      </c>
    </row>
    <row r="82" spans="2:6" ht="13.5">
      <c r="B82" s="14">
        <v>45166</v>
      </c>
      <c r="C82" s="6" t="s">
        <v>111</v>
      </c>
      <c r="D82" s="6" t="s">
        <v>13</v>
      </c>
      <c r="E82" s="6" t="s">
        <v>1</v>
      </c>
      <c r="F82" s="6" t="s">
        <v>110</v>
      </c>
    </row>
    <row r="83" spans="2:6" ht="13.5">
      <c r="B83" s="14">
        <v>45167</v>
      </c>
      <c r="C83" s="6" t="s">
        <v>112</v>
      </c>
      <c r="D83" s="6" t="s">
        <v>16</v>
      </c>
      <c r="E83" s="6" t="s">
        <v>1</v>
      </c>
      <c r="F83" s="6" t="s">
        <v>110</v>
      </c>
    </row>
    <row r="84" spans="2:6" ht="13.5">
      <c r="B84" s="14">
        <v>45168</v>
      </c>
      <c r="C84" s="6" t="s">
        <v>113</v>
      </c>
      <c r="D84" s="6" t="s">
        <v>18</v>
      </c>
      <c r="E84" s="6" t="s">
        <v>1</v>
      </c>
      <c r="F84" s="6" t="s">
        <v>110</v>
      </c>
    </row>
    <row r="85" spans="2:6" ht="13.5">
      <c r="B85" s="14">
        <v>45169</v>
      </c>
      <c r="C85" s="6" t="s">
        <v>114</v>
      </c>
      <c r="D85" s="6" t="s">
        <v>20</v>
      </c>
      <c r="E85" s="6" t="s">
        <v>1</v>
      </c>
      <c r="F85" s="6" t="s">
        <v>110</v>
      </c>
    </row>
    <row r="86" spans="2:6" ht="13.5">
      <c r="B86" s="14">
        <v>45170</v>
      </c>
      <c r="C86" s="6" t="s">
        <v>115</v>
      </c>
      <c r="D86" s="6" t="s">
        <v>22</v>
      </c>
      <c r="E86" s="6" t="s">
        <v>1</v>
      </c>
      <c r="F86" s="6" t="s">
        <v>110</v>
      </c>
    </row>
    <row r="87" spans="2:6" ht="13.5">
      <c r="B87" s="14">
        <v>45171</v>
      </c>
      <c r="C87" s="6" t="s">
        <v>116</v>
      </c>
      <c r="D87" s="6" t="s">
        <v>24</v>
      </c>
      <c r="E87" s="6" t="s">
        <v>25</v>
      </c>
      <c r="F87" s="6" t="s">
        <v>110</v>
      </c>
    </row>
    <row r="88" spans="2:6" ht="13.5">
      <c r="B88" s="14">
        <v>45172</v>
      </c>
      <c r="C88" s="6" t="s">
        <v>117</v>
      </c>
      <c r="D88" s="6" t="s">
        <v>27</v>
      </c>
      <c r="E88" s="6" t="s">
        <v>28</v>
      </c>
      <c r="F88" s="6" t="s">
        <v>118</v>
      </c>
    </row>
    <row r="89" spans="2:6" ht="13.5">
      <c r="B89" s="14">
        <v>45173</v>
      </c>
      <c r="C89" s="6" t="s">
        <v>119</v>
      </c>
      <c r="D89" s="6" t="s">
        <v>13</v>
      </c>
      <c r="E89" s="6" t="s">
        <v>1</v>
      </c>
      <c r="F89" s="6" t="s">
        <v>118</v>
      </c>
    </row>
    <row r="90" spans="2:6" ht="13.5">
      <c r="B90" s="14">
        <v>45174</v>
      </c>
      <c r="C90" s="6" t="s">
        <v>120</v>
      </c>
      <c r="D90" s="6" t="s">
        <v>16</v>
      </c>
      <c r="E90" s="6" t="s">
        <v>1</v>
      </c>
      <c r="F90" s="6" t="s">
        <v>118</v>
      </c>
    </row>
    <row r="91" spans="2:6" ht="13.5">
      <c r="B91" s="14">
        <v>45175</v>
      </c>
      <c r="C91" s="6" t="s">
        <v>121</v>
      </c>
      <c r="D91" s="6" t="s">
        <v>18</v>
      </c>
      <c r="E91" s="6" t="s">
        <v>1</v>
      </c>
      <c r="F91" s="6" t="s">
        <v>118</v>
      </c>
    </row>
    <row r="92" spans="2:6" ht="13.5">
      <c r="B92" s="14">
        <v>45176</v>
      </c>
      <c r="C92" s="6" t="s">
        <v>122</v>
      </c>
      <c r="D92" s="6" t="s">
        <v>20</v>
      </c>
      <c r="E92" s="6" t="s">
        <v>1</v>
      </c>
      <c r="F92" s="6" t="s">
        <v>118</v>
      </c>
    </row>
    <row r="93" spans="2:6" ht="13.5">
      <c r="B93" s="14">
        <v>45177</v>
      </c>
      <c r="C93" s="6" t="s">
        <v>123</v>
      </c>
      <c r="D93" s="6" t="s">
        <v>22</v>
      </c>
      <c r="E93" s="6" t="s">
        <v>1</v>
      </c>
      <c r="F93" s="6" t="s">
        <v>118</v>
      </c>
    </row>
    <row r="94" spans="2:6" ht="13.5">
      <c r="B94" s="14">
        <v>45178</v>
      </c>
      <c r="C94" s="6" t="s">
        <v>124</v>
      </c>
      <c r="D94" s="6" t="s">
        <v>24</v>
      </c>
      <c r="E94" s="6" t="s">
        <v>25</v>
      </c>
      <c r="F94" s="6" t="s">
        <v>118</v>
      </c>
    </row>
    <row r="95" spans="2:6" ht="13.5">
      <c r="B95" s="14">
        <v>45179</v>
      </c>
      <c r="C95" s="6" t="s">
        <v>125</v>
      </c>
      <c r="D95" s="6" t="s">
        <v>27</v>
      </c>
      <c r="E95" s="6" t="s">
        <v>28</v>
      </c>
      <c r="F95" s="6" t="s">
        <v>126</v>
      </c>
    </row>
    <row r="96" spans="2:6" ht="13.5">
      <c r="B96" s="14">
        <v>45180</v>
      </c>
      <c r="C96" s="6" t="s">
        <v>127</v>
      </c>
      <c r="D96" s="6" t="s">
        <v>13</v>
      </c>
      <c r="E96" s="6" t="s">
        <v>1</v>
      </c>
      <c r="F96" s="6" t="s">
        <v>126</v>
      </c>
    </row>
    <row r="97" spans="2:6" ht="13.5">
      <c r="B97" s="14">
        <v>45181</v>
      </c>
      <c r="C97" s="6" t="s">
        <v>128</v>
      </c>
      <c r="D97" s="6" t="s">
        <v>16</v>
      </c>
      <c r="E97" s="6" t="s">
        <v>1</v>
      </c>
      <c r="F97" s="6" t="s">
        <v>126</v>
      </c>
    </row>
    <row r="98" spans="2:6" ht="13.5">
      <c r="B98" s="14">
        <v>45182</v>
      </c>
      <c r="C98" s="6" t="s">
        <v>129</v>
      </c>
      <c r="D98" s="6" t="s">
        <v>18</v>
      </c>
      <c r="E98" s="6" t="s">
        <v>1</v>
      </c>
      <c r="F98" s="6" t="s">
        <v>126</v>
      </c>
    </row>
    <row r="99" spans="2:6" ht="13.5">
      <c r="B99" s="14">
        <v>45183</v>
      </c>
      <c r="C99" s="6" t="s">
        <v>130</v>
      </c>
      <c r="D99" s="6" t="s">
        <v>20</v>
      </c>
      <c r="E99" s="6" t="s">
        <v>1</v>
      </c>
      <c r="F99" s="6" t="s">
        <v>126</v>
      </c>
    </row>
    <row r="100" spans="2:6" ht="13.5">
      <c r="B100" s="14">
        <v>45184</v>
      </c>
      <c r="C100" s="6" t="s">
        <v>131</v>
      </c>
      <c r="D100" s="6" t="s">
        <v>22</v>
      </c>
      <c r="E100" s="6" t="s">
        <v>1</v>
      </c>
      <c r="F100" s="6" t="s">
        <v>126</v>
      </c>
    </row>
    <row r="101" spans="2:6" ht="13.5">
      <c r="B101" s="14">
        <v>45185</v>
      </c>
      <c r="C101" s="6" t="s">
        <v>132</v>
      </c>
      <c r="D101" s="6" t="s">
        <v>24</v>
      </c>
      <c r="E101" s="6" t="s">
        <v>25</v>
      </c>
      <c r="F101" s="6" t="s">
        <v>126</v>
      </c>
    </row>
    <row r="102" spans="2:6" ht="13.5">
      <c r="B102" s="14">
        <v>45186</v>
      </c>
      <c r="C102" s="6" t="s">
        <v>133</v>
      </c>
      <c r="D102" s="6" t="s">
        <v>27</v>
      </c>
      <c r="E102" s="6" t="s">
        <v>28</v>
      </c>
      <c r="F102" s="6" t="s">
        <v>134</v>
      </c>
    </row>
    <row r="103" spans="2:6" ht="13.5">
      <c r="B103" s="14">
        <v>45187</v>
      </c>
      <c r="C103" s="6" t="s">
        <v>135</v>
      </c>
      <c r="D103" s="6" t="s">
        <v>13</v>
      </c>
      <c r="E103" s="6" t="s">
        <v>1</v>
      </c>
      <c r="F103" s="6" t="s">
        <v>134</v>
      </c>
    </row>
    <row r="104" spans="2:6" ht="13.5">
      <c r="B104" s="14">
        <v>45188</v>
      </c>
      <c r="C104" s="6" t="s">
        <v>136</v>
      </c>
      <c r="D104" s="6" t="s">
        <v>16</v>
      </c>
      <c r="E104" s="6" t="s">
        <v>1</v>
      </c>
      <c r="F104" s="6" t="s">
        <v>134</v>
      </c>
    </row>
    <row r="105" spans="2:6" ht="13.5">
      <c r="B105" s="14">
        <v>45189</v>
      </c>
      <c r="C105" s="6" t="s">
        <v>137</v>
      </c>
      <c r="D105" s="6" t="s">
        <v>18</v>
      </c>
      <c r="E105" s="6" t="s">
        <v>1</v>
      </c>
      <c r="F105" s="6" t="s">
        <v>134</v>
      </c>
    </row>
    <row r="106" spans="2:6" ht="13.5">
      <c r="B106" s="14">
        <v>45190</v>
      </c>
      <c r="C106" s="6" t="s">
        <v>138</v>
      </c>
      <c r="D106" s="6" t="s">
        <v>20</v>
      </c>
      <c r="E106" s="6" t="s">
        <v>1</v>
      </c>
      <c r="F106" s="6" t="s">
        <v>134</v>
      </c>
    </row>
    <row r="107" spans="2:6" ht="13.5">
      <c r="B107" s="14">
        <v>45191</v>
      </c>
      <c r="C107" s="6" t="s">
        <v>139</v>
      </c>
      <c r="D107" s="6" t="s">
        <v>22</v>
      </c>
      <c r="E107" s="6" t="s">
        <v>1</v>
      </c>
      <c r="F107" s="6" t="s">
        <v>134</v>
      </c>
    </row>
    <row r="108" spans="2:6" ht="13.5">
      <c r="B108" s="14">
        <v>45192</v>
      </c>
      <c r="C108" s="6" t="s">
        <v>140</v>
      </c>
      <c r="D108" s="6" t="s">
        <v>24</v>
      </c>
      <c r="E108" s="6" t="s">
        <v>25</v>
      </c>
      <c r="F108" s="6" t="s">
        <v>134</v>
      </c>
    </row>
    <row r="109" spans="2:6" ht="13.5">
      <c r="B109" s="14">
        <v>45193</v>
      </c>
      <c r="C109" s="6" t="s">
        <v>141</v>
      </c>
      <c r="D109" s="6" t="s">
        <v>27</v>
      </c>
      <c r="E109" s="6" t="s">
        <v>28</v>
      </c>
      <c r="F109" s="6" t="s">
        <v>142</v>
      </c>
    </row>
    <row r="110" spans="2:6" ht="13.5">
      <c r="B110" s="14">
        <v>45194</v>
      </c>
      <c r="C110" s="6" t="s">
        <v>143</v>
      </c>
      <c r="D110" s="6" t="s">
        <v>13</v>
      </c>
      <c r="E110" s="6" t="s">
        <v>1</v>
      </c>
      <c r="F110" s="6" t="s">
        <v>142</v>
      </c>
    </row>
    <row r="111" spans="2:6" ht="13.5">
      <c r="B111" s="14">
        <v>45195</v>
      </c>
      <c r="C111" s="6" t="s">
        <v>144</v>
      </c>
      <c r="D111" s="6" t="s">
        <v>16</v>
      </c>
      <c r="E111" s="6" t="s">
        <v>1</v>
      </c>
      <c r="F111" s="6" t="s">
        <v>142</v>
      </c>
    </row>
    <row r="112" spans="2:6" ht="13.5">
      <c r="B112" s="14">
        <v>45196</v>
      </c>
      <c r="C112" s="6" t="s">
        <v>145</v>
      </c>
      <c r="D112" s="6" t="s">
        <v>18</v>
      </c>
      <c r="E112" s="6" t="s">
        <v>1</v>
      </c>
      <c r="F112" s="6" t="s">
        <v>142</v>
      </c>
    </row>
    <row r="113" spans="2:6" ht="13.5">
      <c r="B113" s="14">
        <v>45197</v>
      </c>
      <c r="C113" s="6" t="s">
        <v>146</v>
      </c>
      <c r="D113" s="6" t="s">
        <v>20</v>
      </c>
      <c r="E113" s="6" t="s">
        <v>147</v>
      </c>
      <c r="F113" s="6" t="s">
        <v>142</v>
      </c>
    </row>
    <row r="114" spans="2:6" ht="13.5">
      <c r="B114" s="14">
        <v>45198</v>
      </c>
      <c r="C114" s="6" t="s">
        <v>148</v>
      </c>
      <c r="D114" s="6" t="s">
        <v>22</v>
      </c>
      <c r="E114" s="6" t="s">
        <v>147</v>
      </c>
      <c r="F114" s="6" t="s">
        <v>142</v>
      </c>
    </row>
    <row r="115" spans="2:6" ht="13.5">
      <c r="B115" s="14">
        <v>45199</v>
      </c>
      <c r="C115" s="6" t="s">
        <v>149</v>
      </c>
      <c r="D115" s="6" t="s">
        <v>24</v>
      </c>
      <c r="E115" s="6" t="s">
        <v>147</v>
      </c>
      <c r="F115" s="6" t="s">
        <v>142</v>
      </c>
    </row>
    <row r="116" spans="2:6" ht="13.5">
      <c r="B116" s="14">
        <v>45200</v>
      </c>
      <c r="C116" s="6" t="s">
        <v>150</v>
      </c>
      <c r="D116" s="6" t="s">
        <v>27</v>
      </c>
      <c r="E116" s="6" t="s">
        <v>28</v>
      </c>
      <c r="F116" s="6" t="s">
        <v>151</v>
      </c>
    </row>
    <row r="117" spans="2:6" ht="13.5">
      <c r="B117" s="14">
        <v>45201</v>
      </c>
      <c r="C117" s="6" t="s">
        <v>152</v>
      </c>
      <c r="D117" s="6" t="s">
        <v>13</v>
      </c>
      <c r="E117" s="6" t="s">
        <v>1</v>
      </c>
      <c r="F117" s="6" t="s">
        <v>151</v>
      </c>
    </row>
    <row r="118" spans="2:6" ht="13.5">
      <c r="B118" s="14">
        <v>45202</v>
      </c>
      <c r="C118" s="6" t="s">
        <v>153</v>
      </c>
      <c r="D118" s="6" t="s">
        <v>16</v>
      </c>
      <c r="E118" s="6" t="s">
        <v>154</v>
      </c>
      <c r="F118" s="6" t="s">
        <v>151</v>
      </c>
    </row>
    <row r="119" spans="2:6" ht="13.5">
      <c r="B119" s="14">
        <v>45203</v>
      </c>
      <c r="C119" s="6" t="s">
        <v>155</v>
      </c>
      <c r="D119" s="6" t="s">
        <v>18</v>
      </c>
      <c r="E119" s="6" t="s">
        <v>1</v>
      </c>
      <c r="F119" s="6" t="s">
        <v>151</v>
      </c>
    </row>
    <row r="120" spans="2:6" ht="13.5">
      <c r="B120" s="14">
        <v>45204</v>
      </c>
      <c r="C120" s="6" t="s">
        <v>156</v>
      </c>
      <c r="D120" s="6" t="s">
        <v>20</v>
      </c>
      <c r="E120" s="6" t="s">
        <v>1</v>
      </c>
      <c r="F120" s="6" t="s">
        <v>151</v>
      </c>
    </row>
    <row r="121" spans="2:6" ht="13.5">
      <c r="B121" s="14">
        <v>45205</v>
      </c>
      <c r="C121" s="6" t="s">
        <v>157</v>
      </c>
      <c r="D121" s="6" t="s">
        <v>22</v>
      </c>
      <c r="E121" s="6" t="s">
        <v>1</v>
      </c>
      <c r="F121" s="6" t="s">
        <v>151</v>
      </c>
    </row>
    <row r="122" spans="2:6" ht="13.5">
      <c r="B122" s="14">
        <v>45206</v>
      </c>
      <c r="C122" s="6" t="s">
        <v>158</v>
      </c>
      <c r="D122" s="6" t="s">
        <v>24</v>
      </c>
      <c r="E122" s="6" t="s">
        <v>25</v>
      </c>
      <c r="F122" s="6" t="s">
        <v>151</v>
      </c>
    </row>
    <row r="123" spans="2:6" ht="13.5">
      <c r="B123" s="14">
        <v>45207</v>
      </c>
      <c r="C123" s="6" t="s">
        <v>159</v>
      </c>
      <c r="D123" s="6" t="s">
        <v>27</v>
      </c>
      <c r="E123" s="6" t="s">
        <v>28</v>
      </c>
      <c r="F123" s="6" t="s">
        <v>160</v>
      </c>
    </row>
    <row r="124" spans="2:6" ht="13.5">
      <c r="B124" s="14">
        <v>45208</v>
      </c>
      <c r="C124" s="6" t="s">
        <v>161</v>
      </c>
      <c r="D124" s="6" t="s">
        <v>13</v>
      </c>
      <c r="E124" s="6" t="s">
        <v>162</v>
      </c>
      <c r="F124" s="6" t="s">
        <v>160</v>
      </c>
    </row>
    <row r="125" spans="2:6" ht="13.5">
      <c r="B125" s="14">
        <v>45209</v>
      </c>
      <c r="C125" s="6" t="s">
        <v>163</v>
      </c>
      <c r="D125" s="6" t="s">
        <v>16</v>
      </c>
      <c r="E125" s="6" t="s">
        <v>1</v>
      </c>
      <c r="F125" s="6" t="s">
        <v>160</v>
      </c>
    </row>
    <row r="126" spans="2:6" ht="13.5">
      <c r="B126" s="14">
        <v>45210</v>
      </c>
      <c r="C126" s="6" t="s">
        <v>164</v>
      </c>
      <c r="D126" s="6" t="s">
        <v>18</v>
      </c>
      <c r="E126" s="6" t="s">
        <v>1</v>
      </c>
      <c r="F126" s="6" t="s">
        <v>160</v>
      </c>
    </row>
    <row r="127" spans="2:6" ht="13.5">
      <c r="B127" s="14">
        <v>45211</v>
      </c>
      <c r="C127" s="6" t="s">
        <v>165</v>
      </c>
      <c r="D127" s="6" t="s">
        <v>20</v>
      </c>
      <c r="E127" s="6" t="s">
        <v>1</v>
      </c>
      <c r="F127" s="6" t="s">
        <v>160</v>
      </c>
    </row>
    <row r="128" spans="2:6" ht="13.5">
      <c r="B128" s="14">
        <v>45212</v>
      </c>
      <c r="C128" s="6" t="s">
        <v>166</v>
      </c>
      <c r="D128" s="6" t="s">
        <v>22</v>
      </c>
      <c r="E128" s="6" t="s">
        <v>1</v>
      </c>
      <c r="F128" s="6" t="s">
        <v>160</v>
      </c>
    </row>
    <row r="129" spans="2:6" ht="13.5">
      <c r="B129" s="14">
        <v>45213</v>
      </c>
      <c r="C129" s="6" t="s">
        <v>167</v>
      </c>
      <c r="D129" s="6" t="s">
        <v>24</v>
      </c>
      <c r="E129" s="6" t="s">
        <v>25</v>
      </c>
      <c r="F129" s="6" t="s">
        <v>160</v>
      </c>
    </row>
    <row r="130" spans="2:6" ht="13.5">
      <c r="B130" s="14">
        <v>45214</v>
      </c>
      <c r="C130" s="6" t="s">
        <v>168</v>
      </c>
      <c r="D130" s="6" t="s">
        <v>27</v>
      </c>
      <c r="E130" s="6" t="s">
        <v>28</v>
      </c>
      <c r="F130" s="6" t="s">
        <v>169</v>
      </c>
    </row>
    <row r="131" spans="2:6" ht="13.5">
      <c r="B131" s="14">
        <v>45215</v>
      </c>
      <c r="C131" s="6" t="s">
        <v>170</v>
      </c>
      <c r="D131" s="6" t="s">
        <v>13</v>
      </c>
      <c r="E131" s="6" t="s">
        <v>1</v>
      </c>
      <c r="F131" s="6" t="s">
        <v>169</v>
      </c>
    </row>
    <row r="132" spans="2:6" ht="13.5">
      <c r="B132" s="14">
        <v>45216</v>
      </c>
      <c r="C132" s="6" t="s">
        <v>171</v>
      </c>
      <c r="D132" s="6" t="s">
        <v>16</v>
      </c>
      <c r="E132" s="6" t="s">
        <v>1</v>
      </c>
      <c r="F132" s="6" t="s">
        <v>169</v>
      </c>
    </row>
    <row r="133" spans="2:6" ht="13.5">
      <c r="B133" s="14">
        <v>45217</v>
      </c>
      <c r="C133" s="6" t="s">
        <v>172</v>
      </c>
      <c r="D133" s="6" t="s">
        <v>18</v>
      </c>
      <c r="E133" s="6" t="s">
        <v>1</v>
      </c>
      <c r="F133" s="6" t="s">
        <v>169</v>
      </c>
    </row>
    <row r="134" spans="2:6" ht="13.5">
      <c r="B134" s="14">
        <v>45218</v>
      </c>
      <c r="C134" s="6" t="s">
        <v>173</v>
      </c>
      <c r="D134" s="6" t="s">
        <v>20</v>
      </c>
      <c r="E134" s="6" t="s">
        <v>1</v>
      </c>
      <c r="F134" s="6" t="s">
        <v>169</v>
      </c>
    </row>
    <row r="135" spans="2:6" ht="13.5">
      <c r="B135" s="14">
        <v>45219</v>
      </c>
      <c r="C135" s="6" t="s">
        <v>174</v>
      </c>
      <c r="D135" s="6" t="s">
        <v>22</v>
      </c>
      <c r="E135" s="6" t="s">
        <v>1</v>
      </c>
      <c r="F135" s="6" t="s">
        <v>169</v>
      </c>
    </row>
    <row r="136" spans="2:6" ht="13.5">
      <c r="B136" s="14">
        <v>45220</v>
      </c>
      <c r="C136" s="6" t="s">
        <v>175</v>
      </c>
      <c r="D136" s="6" t="s">
        <v>24</v>
      </c>
      <c r="E136" s="6" t="s">
        <v>25</v>
      </c>
      <c r="F136" s="6" t="s">
        <v>169</v>
      </c>
    </row>
    <row r="137" spans="2:6" ht="13.5">
      <c r="B137" s="14">
        <v>45221</v>
      </c>
      <c r="C137" s="6" t="s">
        <v>176</v>
      </c>
      <c r="D137" s="6" t="s">
        <v>27</v>
      </c>
      <c r="E137" s="6" t="s">
        <v>28</v>
      </c>
      <c r="F137" s="6" t="s">
        <v>177</v>
      </c>
    </row>
    <row r="138" spans="2:6" ht="13.5">
      <c r="B138" s="14">
        <v>45222</v>
      </c>
      <c r="C138" s="6" t="s">
        <v>178</v>
      </c>
      <c r="D138" s="6" t="s">
        <v>13</v>
      </c>
      <c r="E138" s="6" t="s">
        <v>1</v>
      </c>
      <c r="F138" s="6" t="s">
        <v>177</v>
      </c>
    </row>
    <row r="139" spans="2:6" ht="13.5">
      <c r="B139" s="14">
        <v>45223</v>
      </c>
      <c r="C139" s="6" t="s">
        <v>179</v>
      </c>
      <c r="D139" s="6" t="s">
        <v>16</v>
      </c>
      <c r="E139" s="6" t="s">
        <v>1</v>
      </c>
      <c r="F139" s="6" t="s">
        <v>177</v>
      </c>
    </row>
    <row r="140" spans="2:6" ht="13.5">
      <c r="B140" s="14">
        <v>45224</v>
      </c>
      <c r="C140" s="6" t="s">
        <v>180</v>
      </c>
      <c r="D140" s="6" t="s">
        <v>18</v>
      </c>
      <c r="E140" s="6" t="s">
        <v>1</v>
      </c>
      <c r="F140" s="6" t="s">
        <v>177</v>
      </c>
    </row>
    <row r="141" spans="2:6" ht="13.5">
      <c r="B141" s="14">
        <v>45225</v>
      </c>
      <c r="C141" s="6" t="s">
        <v>181</v>
      </c>
      <c r="D141" s="6" t="s">
        <v>20</v>
      </c>
      <c r="E141" s="6" t="s">
        <v>1</v>
      </c>
      <c r="F141" s="6" t="s">
        <v>177</v>
      </c>
    </row>
    <row r="142" spans="2:6" ht="13.5">
      <c r="B142" s="14">
        <v>45226</v>
      </c>
      <c r="C142" s="6" t="s">
        <v>182</v>
      </c>
      <c r="D142" s="6" t="s">
        <v>22</v>
      </c>
      <c r="E142" s="6" t="s">
        <v>1</v>
      </c>
      <c r="F142" s="6" t="s">
        <v>177</v>
      </c>
    </row>
    <row r="143" spans="2:6" ht="13.5">
      <c r="B143" s="14">
        <v>45227</v>
      </c>
      <c r="C143" s="6" t="s">
        <v>183</v>
      </c>
      <c r="D143" s="6" t="s">
        <v>24</v>
      </c>
      <c r="E143" s="6" t="s">
        <v>25</v>
      </c>
      <c r="F143" s="6" t="s">
        <v>177</v>
      </c>
    </row>
    <row r="144" spans="2:6" ht="13.5">
      <c r="B144" s="14">
        <v>45228</v>
      </c>
      <c r="C144" s="6" t="s">
        <v>184</v>
      </c>
      <c r="D144" s="6" t="s">
        <v>27</v>
      </c>
      <c r="E144" s="6" t="s">
        <v>28</v>
      </c>
      <c r="F144" s="6" t="s">
        <v>185</v>
      </c>
    </row>
    <row r="145" spans="2:6" ht="13.5">
      <c r="B145" s="14">
        <v>45229</v>
      </c>
      <c r="C145" s="6" t="s">
        <v>186</v>
      </c>
      <c r="D145" s="6" t="s">
        <v>13</v>
      </c>
      <c r="E145" s="6" t="s">
        <v>1</v>
      </c>
      <c r="F145" s="6" t="s">
        <v>185</v>
      </c>
    </row>
    <row r="146" spans="2:6" ht="13.5">
      <c r="B146" s="14">
        <v>45230</v>
      </c>
      <c r="C146" s="6" t="s">
        <v>187</v>
      </c>
      <c r="D146" s="6" t="s">
        <v>16</v>
      </c>
      <c r="E146" s="6" t="s">
        <v>1</v>
      </c>
      <c r="F146" s="6" t="s">
        <v>185</v>
      </c>
    </row>
    <row r="147" spans="2:6" ht="13.5">
      <c r="B147" s="14">
        <v>45231</v>
      </c>
      <c r="C147" s="6" t="s">
        <v>188</v>
      </c>
      <c r="D147" s="6" t="s">
        <v>18</v>
      </c>
      <c r="E147" s="6" t="s">
        <v>1</v>
      </c>
      <c r="F147" s="6" t="s">
        <v>185</v>
      </c>
    </row>
    <row r="148" spans="2:6" ht="13.5">
      <c r="B148" s="14">
        <v>45232</v>
      </c>
      <c r="C148" s="6" t="s">
        <v>189</v>
      </c>
      <c r="D148" s="6" t="s">
        <v>20</v>
      </c>
      <c r="E148" s="6" t="s">
        <v>1</v>
      </c>
      <c r="F148" s="6" t="s">
        <v>185</v>
      </c>
    </row>
    <row r="149" spans="2:6" ht="13.5">
      <c r="B149" s="14">
        <v>45233</v>
      </c>
      <c r="C149" s="6" t="s">
        <v>190</v>
      </c>
      <c r="D149" s="6" t="s">
        <v>22</v>
      </c>
      <c r="E149" s="6" t="s">
        <v>1</v>
      </c>
      <c r="F149" s="6" t="s">
        <v>185</v>
      </c>
    </row>
    <row r="150" spans="2:6" ht="13.5">
      <c r="B150" s="14">
        <v>45234</v>
      </c>
      <c r="C150" s="6" t="s">
        <v>191</v>
      </c>
      <c r="D150" s="6" t="s">
        <v>24</v>
      </c>
      <c r="E150" s="6" t="s">
        <v>25</v>
      </c>
      <c r="F150" s="6" t="s">
        <v>185</v>
      </c>
    </row>
    <row r="151" spans="2:6" ht="13.5">
      <c r="B151" s="14">
        <v>45235</v>
      </c>
      <c r="C151" s="6" t="s">
        <v>192</v>
      </c>
      <c r="D151" s="6" t="s">
        <v>27</v>
      </c>
      <c r="E151" s="6" t="s">
        <v>28</v>
      </c>
      <c r="F151" s="6" t="s">
        <v>193</v>
      </c>
    </row>
    <row r="152" spans="2:6" ht="13.5">
      <c r="B152" s="14">
        <v>45236</v>
      </c>
      <c r="C152" s="6" t="s">
        <v>194</v>
      </c>
      <c r="D152" s="6" t="s">
        <v>13</v>
      </c>
      <c r="E152" s="6" t="s">
        <v>1</v>
      </c>
      <c r="F152" s="6" t="s">
        <v>193</v>
      </c>
    </row>
    <row r="153" spans="2:6" ht="13.5">
      <c r="B153" s="14">
        <v>45237</v>
      </c>
      <c r="C153" s="6" t="s">
        <v>195</v>
      </c>
      <c r="D153" s="6" t="s">
        <v>16</v>
      </c>
      <c r="E153" s="6" t="s">
        <v>1</v>
      </c>
      <c r="F153" s="6" t="s">
        <v>193</v>
      </c>
    </row>
    <row r="154" spans="2:6" ht="13.5">
      <c r="B154" s="14">
        <v>45238</v>
      </c>
      <c r="C154" s="6" t="s">
        <v>196</v>
      </c>
      <c r="D154" s="6" t="s">
        <v>18</v>
      </c>
      <c r="E154" s="6" t="s">
        <v>1</v>
      </c>
      <c r="F154" s="6" t="s">
        <v>193</v>
      </c>
    </row>
    <row r="155" spans="2:6" ht="13.5">
      <c r="B155" s="14">
        <v>45239</v>
      </c>
      <c r="C155" s="6" t="s">
        <v>197</v>
      </c>
      <c r="D155" s="6" t="s">
        <v>20</v>
      </c>
      <c r="E155" s="6" t="s">
        <v>1</v>
      </c>
      <c r="F155" s="6" t="s">
        <v>193</v>
      </c>
    </row>
    <row r="156" spans="2:6" ht="13.5">
      <c r="B156" s="14">
        <v>45240</v>
      </c>
      <c r="C156" s="6" t="s">
        <v>198</v>
      </c>
      <c r="D156" s="6" t="s">
        <v>22</v>
      </c>
      <c r="E156" s="6" t="s">
        <v>1</v>
      </c>
      <c r="F156" s="6" t="s">
        <v>193</v>
      </c>
    </row>
    <row r="157" spans="2:6" ht="13.5">
      <c r="B157" s="14">
        <v>45241</v>
      </c>
      <c r="C157" s="6" t="s">
        <v>199</v>
      </c>
      <c r="D157" s="6" t="s">
        <v>24</v>
      </c>
      <c r="E157" s="6" t="s">
        <v>25</v>
      </c>
      <c r="F157" s="6" t="s">
        <v>193</v>
      </c>
    </row>
    <row r="158" spans="2:6" ht="13.5">
      <c r="B158" s="14">
        <v>45242</v>
      </c>
      <c r="C158" s="6" t="s">
        <v>200</v>
      </c>
      <c r="D158" s="6" t="s">
        <v>27</v>
      </c>
      <c r="E158" s="6" t="s">
        <v>28</v>
      </c>
      <c r="F158" s="6" t="s">
        <v>201</v>
      </c>
    </row>
    <row r="159" spans="2:6" ht="13.5">
      <c r="B159" s="14">
        <v>45243</v>
      </c>
      <c r="C159" s="6" t="s">
        <v>202</v>
      </c>
      <c r="D159" s="6" t="s">
        <v>13</v>
      </c>
      <c r="E159" s="6" t="s">
        <v>1</v>
      </c>
      <c r="F159" s="6" t="s">
        <v>201</v>
      </c>
    </row>
    <row r="160" spans="2:6" ht="13.5">
      <c r="B160" s="14">
        <v>45244</v>
      </c>
      <c r="C160" s="6" t="s">
        <v>203</v>
      </c>
      <c r="D160" s="6" t="s">
        <v>16</v>
      </c>
      <c r="E160" s="6" t="s">
        <v>1</v>
      </c>
      <c r="F160" s="6" t="s">
        <v>201</v>
      </c>
    </row>
    <row r="161" spans="2:6" ht="13.5">
      <c r="B161" s="14">
        <v>45245</v>
      </c>
      <c r="C161" s="6" t="s">
        <v>204</v>
      </c>
      <c r="D161" s="6" t="s">
        <v>18</v>
      </c>
      <c r="E161" s="6" t="s">
        <v>1</v>
      </c>
      <c r="F161" s="6" t="s">
        <v>201</v>
      </c>
    </row>
    <row r="162" spans="2:6" ht="13.5">
      <c r="B162" s="14">
        <v>45246</v>
      </c>
      <c r="C162" s="6" t="s">
        <v>205</v>
      </c>
      <c r="D162" s="6" t="s">
        <v>20</v>
      </c>
      <c r="E162" s="6" t="s">
        <v>1</v>
      </c>
      <c r="F162" s="6" t="s">
        <v>201</v>
      </c>
    </row>
    <row r="163" spans="2:6" ht="13.5">
      <c r="B163" s="14">
        <v>45247</v>
      </c>
      <c r="C163" s="6" t="s">
        <v>206</v>
      </c>
      <c r="D163" s="6" t="s">
        <v>22</v>
      </c>
      <c r="E163" s="6" t="s">
        <v>1</v>
      </c>
      <c r="F163" s="6" t="s">
        <v>201</v>
      </c>
    </row>
    <row r="164" spans="2:6" ht="13.5"/>
    <row r="165" spans="2:6" ht="13.5"/>
    <row r="166" spans="2:6" ht="13.5"/>
    <row r="167" spans="2:6" ht="13.5"/>
    <row r="168" spans="2:6" ht="13.5"/>
    <row r="169" spans="2:6" ht="13.5"/>
    <row r="170" spans="2:6" ht="13.5"/>
    <row r="171" spans="2:6" ht="13.5"/>
    <row r="172" spans="2:6" ht="13.5"/>
    <row r="173" spans="2:6" ht="13.5"/>
    <row r="174" spans="2:6" ht="13.5"/>
    <row r="175" spans="2:6" ht="13.5"/>
    <row r="176" spans="2:6" ht="13.5"/>
    <row r="177" ht="13.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53FAA-9E50-457A-A263-9E7376BDC522}">
  <sheetPr codeName="Sheet7"/>
  <dimension ref="B1:F169"/>
  <sheetViews>
    <sheetView showGridLines="0" workbookViewId="0">
      <selection activeCell="E11" sqref="E11"/>
    </sheetView>
  </sheetViews>
  <sheetFormatPr defaultRowHeight="17.100000000000001" customHeight="1"/>
  <cols>
    <col min="1" max="1" width="1.7109375" customWidth="1"/>
    <col min="2" max="2" width="17" style="6" bestFit="1" customWidth="1"/>
    <col min="3" max="3" width="13.140625" style="6" bestFit="1" customWidth="1"/>
    <col min="4" max="4" width="9.5703125" style="6" bestFit="1" customWidth="1"/>
    <col min="5" max="6" width="13.140625" style="6" bestFit="1" customWidth="1"/>
  </cols>
  <sheetData>
    <row r="1" spans="2:6" ht="9.9499999999999993" customHeight="1"/>
    <row r="2" spans="2:6" ht="25.15" customHeight="1">
      <c r="B2" s="9" t="s">
        <v>207</v>
      </c>
      <c r="C2" s="9"/>
      <c r="D2" s="9"/>
      <c r="E2" s="9"/>
      <c r="F2" s="9"/>
    </row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45094</v>
      </c>
      <c r="C5" s="6" t="s">
        <v>23</v>
      </c>
      <c r="D5" s="6" t="s">
        <v>24</v>
      </c>
      <c r="E5" s="6" t="s">
        <v>25</v>
      </c>
      <c r="F5" s="6" t="s">
        <v>14</v>
      </c>
    </row>
    <row r="6" spans="2:6" ht="13.5">
      <c r="B6" s="14">
        <v>45095</v>
      </c>
      <c r="C6" s="6" t="s">
        <v>26</v>
      </c>
      <c r="D6" s="6" t="s">
        <v>27</v>
      </c>
      <c r="E6" s="6" t="s">
        <v>28</v>
      </c>
      <c r="F6" s="6" t="s">
        <v>29</v>
      </c>
    </row>
    <row r="7" spans="2:6" ht="13.5">
      <c r="B7" s="14">
        <v>45101</v>
      </c>
      <c r="C7" s="6" t="s">
        <v>35</v>
      </c>
      <c r="D7" s="6" t="s">
        <v>24</v>
      </c>
      <c r="E7" s="6" t="s">
        <v>25</v>
      </c>
      <c r="F7" s="6" t="s">
        <v>29</v>
      </c>
    </row>
    <row r="8" spans="2:6" ht="13.5">
      <c r="B8" s="14">
        <v>45102</v>
      </c>
      <c r="C8" s="6" t="s">
        <v>36</v>
      </c>
      <c r="D8" s="6" t="s">
        <v>27</v>
      </c>
      <c r="E8" s="6" t="s">
        <v>28</v>
      </c>
      <c r="F8" s="6" t="s">
        <v>37</v>
      </c>
    </row>
    <row r="9" spans="2:6" ht="13.5">
      <c r="B9" s="14">
        <v>45108</v>
      </c>
      <c r="C9" s="6" t="s">
        <v>43</v>
      </c>
      <c r="D9" s="6" t="s">
        <v>24</v>
      </c>
      <c r="E9" s="6" t="s">
        <v>25</v>
      </c>
      <c r="F9" s="6" t="s">
        <v>37</v>
      </c>
    </row>
    <row r="10" spans="2:6" ht="13.5">
      <c r="B10" s="14">
        <v>45109</v>
      </c>
      <c r="C10" s="6" t="s">
        <v>44</v>
      </c>
      <c r="D10" s="6" t="s">
        <v>27</v>
      </c>
      <c r="E10" s="6" t="s">
        <v>28</v>
      </c>
      <c r="F10" s="6" t="s">
        <v>45</v>
      </c>
    </row>
    <row r="11" spans="2:6" ht="13.5">
      <c r="B11" s="14">
        <v>45115</v>
      </c>
      <c r="C11" s="6" t="s">
        <v>51</v>
      </c>
      <c r="D11" s="6" t="s">
        <v>24</v>
      </c>
      <c r="E11" s="6" t="s">
        <v>25</v>
      </c>
      <c r="F11" s="6" t="s">
        <v>45</v>
      </c>
    </row>
    <row r="12" spans="2:6" ht="13.5">
      <c r="B12" s="14">
        <v>45116</v>
      </c>
      <c r="C12" s="6" t="s">
        <v>52</v>
      </c>
      <c r="D12" s="6" t="s">
        <v>27</v>
      </c>
      <c r="E12" s="6" t="s">
        <v>28</v>
      </c>
      <c r="F12" s="6" t="s">
        <v>53</v>
      </c>
    </row>
    <row r="13" spans="2:6" ht="13.5">
      <c r="B13" s="14">
        <v>45122</v>
      </c>
      <c r="C13" s="6" t="s">
        <v>59</v>
      </c>
      <c r="D13" s="6" t="s">
        <v>24</v>
      </c>
      <c r="E13" s="6" t="s">
        <v>25</v>
      </c>
      <c r="F13" s="6" t="s">
        <v>53</v>
      </c>
    </row>
    <row r="14" spans="2:6" ht="13.5">
      <c r="B14" s="14">
        <v>45123</v>
      </c>
      <c r="C14" s="6" t="s">
        <v>60</v>
      </c>
      <c r="D14" s="6" t="s">
        <v>27</v>
      </c>
      <c r="E14" s="6" t="s">
        <v>28</v>
      </c>
      <c r="F14" s="6" t="s">
        <v>61</v>
      </c>
    </row>
    <row r="15" spans="2:6" ht="13.5">
      <c r="B15" s="14">
        <v>45129</v>
      </c>
      <c r="C15" s="6" t="s">
        <v>67</v>
      </c>
      <c r="D15" s="6" t="s">
        <v>24</v>
      </c>
      <c r="E15" s="6" t="s">
        <v>25</v>
      </c>
      <c r="F15" s="6" t="s">
        <v>61</v>
      </c>
    </row>
    <row r="16" spans="2:6" ht="13.5">
      <c r="B16" s="14">
        <v>45130</v>
      </c>
      <c r="C16" s="6" t="s">
        <v>68</v>
      </c>
      <c r="D16" s="6" t="s">
        <v>27</v>
      </c>
      <c r="E16" s="6" t="s">
        <v>28</v>
      </c>
      <c r="F16" s="6" t="s">
        <v>69</v>
      </c>
    </row>
    <row r="17" spans="2:6" ht="13.5">
      <c r="B17" s="14">
        <v>45136</v>
      </c>
      <c r="C17" s="6" t="s">
        <v>75</v>
      </c>
      <c r="D17" s="6" t="s">
        <v>24</v>
      </c>
      <c r="E17" s="6" t="s">
        <v>25</v>
      </c>
      <c r="F17" s="6" t="s">
        <v>69</v>
      </c>
    </row>
    <row r="18" spans="2:6" ht="13.5">
      <c r="B18" s="14">
        <v>45137</v>
      </c>
      <c r="C18" s="6" t="s">
        <v>76</v>
      </c>
      <c r="D18" s="6" t="s">
        <v>27</v>
      </c>
      <c r="E18" s="6" t="s">
        <v>28</v>
      </c>
      <c r="F18" s="6" t="s">
        <v>77</v>
      </c>
    </row>
    <row r="19" spans="2:6" ht="13.5">
      <c r="B19" s="14">
        <v>45143</v>
      </c>
      <c r="C19" s="6" t="s">
        <v>83</v>
      </c>
      <c r="D19" s="6" t="s">
        <v>24</v>
      </c>
      <c r="E19" s="6" t="s">
        <v>25</v>
      </c>
      <c r="F19" s="6" t="s">
        <v>77</v>
      </c>
    </row>
    <row r="20" spans="2:6" ht="13.5">
      <c r="B20" s="14">
        <v>45144</v>
      </c>
      <c r="C20" s="6" t="s">
        <v>84</v>
      </c>
      <c r="D20" s="6" t="s">
        <v>27</v>
      </c>
      <c r="E20" s="6" t="s">
        <v>28</v>
      </c>
      <c r="F20" s="6" t="s">
        <v>85</v>
      </c>
    </row>
    <row r="21" spans="2:6" ht="13.5">
      <c r="B21" s="14">
        <v>45150</v>
      </c>
      <c r="C21" s="6" t="s">
        <v>91</v>
      </c>
      <c r="D21" s="6" t="s">
        <v>24</v>
      </c>
      <c r="E21" s="6" t="s">
        <v>25</v>
      </c>
      <c r="F21" s="6" t="s">
        <v>85</v>
      </c>
    </row>
    <row r="22" spans="2:6" ht="13.5">
      <c r="B22" s="14">
        <v>45151</v>
      </c>
      <c r="C22" s="6" t="s">
        <v>92</v>
      </c>
      <c r="D22" s="6" t="s">
        <v>27</v>
      </c>
      <c r="E22" s="6" t="s">
        <v>28</v>
      </c>
      <c r="F22" s="6" t="s">
        <v>93</v>
      </c>
    </row>
    <row r="23" spans="2:6" ht="13.5">
      <c r="B23" s="14">
        <v>45153</v>
      </c>
      <c r="C23" s="6" t="s">
        <v>95</v>
      </c>
      <c r="D23" s="6" t="s">
        <v>16</v>
      </c>
      <c r="E23" s="6" t="s">
        <v>96</v>
      </c>
      <c r="F23" s="6" t="s">
        <v>93</v>
      </c>
    </row>
    <row r="24" spans="2:6" ht="13.5">
      <c r="B24" s="14">
        <v>45157</v>
      </c>
      <c r="C24" s="6" t="s">
        <v>100</v>
      </c>
      <c r="D24" s="6" t="s">
        <v>24</v>
      </c>
      <c r="E24" s="6" t="s">
        <v>25</v>
      </c>
      <c r="F24" s="6" t="s">
        <v>93</v>
      </c>
    </row>
    <row r="25" spans="2:6" ht="13.5">
      <c r="B25" s="14">
        <v>45158</v>
      </c>
      <c r="C25" s="6" t="s">
        <v>101</v>
      </c>
      <c r="D25" s="6" t="s">
        <v>27</v>
      </c>
      <c r="E25" s="6" t="s">
        <v>28</v>
      </c>
      <c r="F25" s="6" t="s">
        <v>102</v>
      </c>
    </row>
    <row r="26" spans="2:6" ht="13.5">
      <c r="B26" s="14">
        <v>45164</v>
      </c>
      <c r="C26" s="6" t="s">
        <v>108</v>
      </c>
      <c r="D26" s="6" t="s">
        <v>24</v>
      </c>
      <c r="E26" s="6" t="s">
        <v>25</v>
      </c>
      <c r="F26" s="6" t="s">
        <v>102</v>
      </c>
    </row>
    <row r="27" spans="2:6" ht="13.5">
      <c r="B27" s="14">
        <v>45165</v>
      </c>
      <c r="C27" s="6" t="s">
        <v>109</v>
      </c>
      <c r="D27" s="6" t="s">
        <v>27</v>
      </c>
      <c r="E27" s="6" t="s">
        <v>28</v>
      </c>
      <c r="F27" s="6" t="s">
        <v>110</v>
      </c>
    </row>
    <row r="28" spans="2:6" ht="13.5">
      <c r="B28" s="14">
        <v>45171</v>
      </c>
      <c r="C28" s="6" t="s">
        <v>116</v>
      </c>
      <c r="D28" s="6" t="s">
        <v>24</v>
      </c>
      <c r="E28" s="6" t="s">
        <v>25</v>
      </c>
      <c r="F28" s="6" t="s">
        <v>110</v>
      </c>
    </row>
    <row r="29" spans="2:6" ht="13.5">
      <c r="B29" s="14">
        <v>45172</v>
      </c>
      <c r="C29" s="6" t="s">
        <v>117</v>
      </c>
      <c r="D29" s="6" t="s">
        <v>27</v>
      </c>
      <c r="E29" s="6" t="s">
        <v>28</v>
      </c>
      <c r="F29" s="6" t="s">
        <v>118</v>
      </c>
    </row>
    <row r="30" spans="2:6" ht="13.5">
      <c r="B30" s="14">
        <v>45178</v>
      </c>
      <c r="C30" s="6" t="s">
        <v>124</v>
      </c>
      <c r="D30" s="6" t="s">
        <v>24</v>
      </c>
      <c r="E30" s="6" t="s">
        <v>25</v>
      </c>
      <c r="F30" s="6" t="s">
        <v>118</v>
      </c>
    </row>
    <row r="31" spans="2:6" ht="13.5">
      <c r="B31" s="14">
        <v>45179</v>
      </c>
      <c r="C31" s="6" t="s">
        <v>125</v>
      </c>
      <c r="D31" s="6" t="s">
        <v>27</v>
      </c>
      <c r="E31" s="6" t="s">
        <v>28</v>
      </c>
      <c r="F31" s="6" t="s">
        <v>126</v>
      </c>
    </row>
    <row r="32" spans="2:6" ht="13.5">
      <c r="B32" s="14">
        <v>45185</v>
      </c>
      <c r="C32" s="6" t="s">
        <v>132</v>
      </c>
      <c r="D32" s="6" t="s">
        <v>24</v>
      </c>
      <c r="E32" s="6" t="s">
        <v>25</v>
      </c>
      <c r="F32" s="6" t="s">
        <v>126</v>
      </c>
    </row>
    <row r="33" spans="2:6" ht="13.5">
      <c r="B33" s="14">
        <v>45186</v>
      </c>
      <c r="C33" s="6" t="s">
        <v>133</v>
      </c>
      <c r="D33" s="6" t="s">
        <v>27</v>
      </c>
      <c r="E33" s="6" t="s">
        <v>28</v>
      </c>
      <c r="F33" s="6" t="s">
        <v>134</v>
      </c>
    </row>
    <row r="34" spans="2:6" ht="13.5">
      <c r="B34" s="14">
        <v>45192</v>
      </c>
      <c r="C34" s="6" t="s">
        <v>140</v>
      </c>
      <c r="D34" s="6" t="s">
        <v>24</v>
      </c>
      <c r="E34" s="6" t="s">
        <v>25</v>
      </c>
      <c r="F34" s="6" t="s">
        <v>134</v>
      </c>
    </row>
    <row r="35" spans="2:6" ht="13.5">
      <c r="B35" s="14">
        <v>45193</v>
      </c>
      <c r="C35" s="6" t="s">
        <v>141</v>
      </c>
      <c r="D35" s="6" t="s">
        <v>27</v>
      </c>
      <c r="E35" s="6" t="s">
        <v>28</v>
      </c>
      <c r="F35" s="6" t="s">
        <v>142</v>
      </c>
    </row>
    <row r="36" spans="2:6" ht="13.5">
      <c r="B36" s="14">
        <v>45197</v>
      </c>
      <c r="C36" s="6" t="s">
        <v>146</v>
      </c>
      <c r="D36" s="6" t="s">
        <v>20</v>
      </c>
      <c r="E36" s="6" t="s">
        <v>147</v>
      </c>
      <c r="F36" s="6" t="s">
        <v>142</v>
      </c>
    </row>
    <row r="37" spans="2:6" ht="13.5">
      <c r="B37" s="14">
        <v>45198</v>
      </c>
      <c r="C37" s="6" t="s">
        <v>148</v>
      </c>
      <c r="D37" s="6" t="s">
        <v>22</v>
      </c>
      <c r="E37" s="6" t="s">
        <v>147</v>
      </c>
      <c r="F37" s="6" t="s">
        <v>142</v>
      </c>
    </row>
    <row r="38" spans="2:6" ht="13.5">
      <c r="B38" s="14">
        <v>45199</v>
      </c>
      <c r="C38" s="6" t="s">
        <v>149</v>
      </c>
      <c r="D38" s="6" t="s">
        <v>24</v>
      </c>
      <c r="E38" s="6" t="s">
        <v>147</v>
      </c>
      <c r="F38" s="6" t="s">
        <v>142</v>
      </c>
    </row>
    <row r="39" spans="2:6" ht="13.5">
      <c r="B39" s="14">
        <v>45200</v>
      </c>
      <c r="C39" s="6" t="s">
        <v>150</v>
      </c>
      <c r="D39" s="6" t="s">
        <v>27</v>
      </c>
      <c r="E39" s="6" t="s">
        <v>28</v>
      </c>
      <c r="F39" s="6" t="s">
        <v>151</v>
      </c>
    </row>
    <row r="40" spans="2:6" ht="13.5">
      <c r="B40" s="14">
        <v>45202</v>
      </c>
      <c r="C40" s="6" t="s">
        <v>153</v>
      </c>
      <c r="D40" s="6" t="s">
        <v>16</v>
      </c>
      <c r="E40" s="6" t="s">
        <v>154</v>
      </c>
      <c r="F40" s="6" t="s">
        <v>151</v>
      </c>
    </row>
    <row r="41" spans="2:6" ht="13.5">
      <c r="B41" s="14">
        <v>45206</v>
      </c>
      <c r="C41" s="6" t="s">
        <v>158</v>
      </c>
      <c r="D41" s="6" t="s">
        <v>24</v>
      </c>
      <c r="E41" s="6" t="s">
        <v>25</v>
      </c>
      <c r="F41" s="6" t="s">
        <v>151</v>
      </c>
    </row>
    <row r="42" spans="2:6" ht="13.5">
      <c r="B42" s="14">
        <v>45207</v>
      </c>
      <c r="C42" s="6" t="s">
        <v>159</v>
      </c>
      <c r="D42" s="6" t="s">
        <v>27</v>
      </c>
      <c r="E42" s="6" t="s">
        <v>28</v>
      </c>
      <c r="F42" s="6" t="s">
        <v>160</v>
      </c>
    </row>
    <row r="43" spans="2:6" ht="13.5">
      <c r="B43" s="14">
        <v>45208</v>
      </c>
      <c r="C43" s="6" t="s">
        <v>161</v>
      </c>
      <c r="D43" s="6" t="s">
        <v>13</v>
      </c>
      <c r="E43" s="6" t="s">
        <v>162</v>
      </c>
      <c r="F43" s="6" t="s">
        <v>160</v>
      </c>
    </row>
    <row r="44" spans="2:6" ht="13.5">
      <c r="B44" s="14">
        <v>45213</v>
      </c>
      <c r="C44" s="6" t="s">
        <v>167</v>
      </c>
      <c r="D44" s="6" t="s">
        <v>24</v>
      </c>
      <c r="E44" s="6" t="s">
        <v>25</v>
      </c>
      <c r="F44" s="6" t="s">
        <v>160</v>
      </c>
    </row>
    <row r="45" spans="2:6" ht="13.5">
      <c r="B45" s="14">
        <v>45214</v>
      </c>
      <c r="C45" s="6" t="s">
        <v>168</v>
      </c>
      <c r="D45" s="6" t="s">
        <v>27</v>
      </c>
      <c r="E45" s="6" t="s">
        <v>28</v>
      </c>
      <c r="F45" s="6" t="s">
        <v>169</v>
      </c>
    </row>
    <row r="46" spans="2:6" ht="13.5">
      <c r="B46" s="14">
        <v>45220</v>
      </c>
      <c r="C46" s="6" t="s">
        <v>175</v>
      </c>
      <c r="D46" s="6" t="s">
        <v>24</v>
      </c>
      <c r="E46" s="6" t="s">
        <v>25</v>
      </c>
      <c r="F46" s="6" t="s">
        <v>169</v>
      </c>
    </row>
    <row r="47" spans="2:6" ht="13.5">
      <c r="B47" s="14">
        <v>45221</v>
      </c>
      <c r="C47" s="6" t="s">
        <v>176</v>
      </c>
      <c r="D47" s="6" t="s">
        <v>27</v>
      </c>
      <c r="E47" s="6" t="s">
        <v>28</v>
      </c>
      <c r="F47" s="6" t="s">
        <v>177</v>
      </c>
    </row>
    <row r="48" spans="2:6" ht="13.5">
      <c r="B48" s="14">
        <v>45227</v>
      </c>
      <c r="C48" s="6" t="s">
        <v>183</v>
      </c>
      <c r="D48" s="6" t="s">
        <v>24</v>
      </c>
      <c r="E48" s="6" t="s">
        <v>25</v>
      </c>
      <c r="F48" s="6" t="s">
        <v>177</v>
      </c>
    </row>
    <row r="49" spans="2:6" ht="13.5">
      <c r="B49" s="14">
        <v>45228</v>
      </c>
      <c r="C49" s="6" t="s">
        <v>184</v>
      </c>
      <c r="D49" s="6" t="s">
        <v>27</v>
      </c>
      <c r="E49" s="6" t="s">
        <v>28</v>
      </c>
      <c r="F49" s="6" t="s">
        <v>185</v>
      </c>
    </row>
    <row r="50" spans="2:6" ht="13.5">
      <c r="B50" s="14">
        <v>45234</v>
      </c>
      <c r="C50" s="6" t="s">
        <v>191</v>
      </c>
      <c r="D50" s="6" t="s">
        <v>24</v>
      </c>
      <c r="E50" s="6" t="s">
        <v>25</v>
      </c>
      <c r="F50" s="6" t="s">
        <v>185</v>
      </c>
    </row>
    <row r="51" spans="2:6" ht="13.5">
      <c r="B51" s="14">
        <v>45235</v>
      </c>
      <c r="C51" s="6" t="s">
        <v>192</v>
      </c>
      <c r="D51" s="6" t="s">
        <v>27</v>
      </c>
      <c r="E51" s="6" t="s">
        <v>28</v>
      </c>
      <c r="F51" s="6" t="s">
        <v>193</v>
      </c>
    </row>
    <row r="52" spans="2:6" ht="13.5">
      <c r="B52" s="14">
        <v>45241</v>
      </c>
      <c r="C52" s="6" t="s">
        <v>199</v>
      </c>
      <c r="D52" s="6" t="s">
        <v>24</v>
      </c>
      <c r="E52" s="6" t="s">
        <v>25</v>
      </c>
      <c r="F52" s="6" t="s">
        <v>193</v>
      </c>
    </row>
    <row r="53" spans="2:6" ht="13.5">
      <c r="B53" s="14">
        <v>45242</v>
      </c>
      <c r="C53" s="6" t="s">
        <v>200</v>
      </c>
      <c r="D53" s="6" t="s">
        <v>27</v>
      </c>
      <c r="E53" s="6" t="s">
        <v>28</v>
      </c>
      <c r="F53" s="6" t="s">
        <v>201</v>
      </c>
    </row>
    <row r="54" spans="2:6" ht="13.5"/>
    <row r="55" spans="2:6" ht="13.5"/>
    <row r="56" spans="2:6" ht="13.5"/>
    <row r="57" spans="2:6" ht="13.5"/>
    <row r="58" spans="2:6" ht="13.5"/>
    <row r="59" spans="2:6" ht="13.5"/>
    <row r="60" spans="2:6" ht="13.5"/>
    <row r="61" spans="2:6" ht="13.5"/>
    <row r="62" spans="2:6" ht="13.5"/>
    <row r="63" spans="2:6" ht="13.5"/>
    <row r="64" spans="2:6" ht="13.5"/>
    <row r="65" ht="13.5"/>
    <row r="66" ht="13.5"/>
    <row r="67" ht="13.5"/>
    <row r="68" ht="13.5"/>
    <row r="69" ht="13.5"/>
    <row r="70" ht="13.5"/>
    <row r="71" ht="13.5"/>
    <row r="72" ht="13.5"/>
    <row r="73" ht="13.5"/>
    <row r="74" ht="13.5"/>
    <row r="75" ht="13.5"/>
    <row r="76" ht="13.5"/>
    <row r="77" ht="13.5"/>
    <row r="78" ht="13.5"/>
    <row r="79" ht="13.5"/>
    <row r="80" ht="13.5"/>
    <row r="81" ht="13.5"/>
    <row r="82" ht="13.5"/>
    <row r="83" ht="13.5"/>
    <row r="84" ht="13.5"/>
    <row r="85" ht="13.5"/>
    <row r="86" ht="13.5"/>
    <row r="87" ht="13.5"/>
    <row r="88" ht="13.5"/>
    <row r="89" ht="13.5"/>
    <row r="90" ht="13.5"/>
    <row r="91" ht="13.5"/>
    <row r="92" ht="13.5"/>
    <row r="93" ht="13.5"/>
    <row r="94" ht="13.5"/>
    <row r="95" ht="13.5"/>
    <row r="96" ht="13.5"/>
    <row r="97" ht="13.5"/>
    <row r="98" ht="13.5"/>
    <row r="99" ht="13.5"/>
    <row r="100" ht="13.5"/>
    <row r="101" ht="13.5"/>
    <row r="102" ht="13.5"/>
    <row r="103" ht="13.5"/>
    <row r="104" ht="13.5"/>
    <row r="105" ht="13.5"/>
    <row r="106" ht="13.5"/>
    <row r="107" ht="13.5"/>
    <row r="108" ht="13.5"/>
    <row r="109" ht="13.5"/>
    <row r="110" ht="13.5"/>
    <row r="111" ht="13.5"/>
    <row r="112" ht="13.5"/>
    <row r="113" ht="13.5"/>
    <row r="114" ht="13.5"/>
    <row r="115" ht="13.5"/>
    <row r="116" ht="13.5"/>
    <row r="117" ht="13.5"/>
    <row r="118" ht="13.5"/>
    <row r="119" ht="13.5"/>
    <row r="120" ht="13.5"/>
    <row r="121" ht="13.5"/>
    <row r="122" ht="13.5"/>
    <row r="123" ht="13.5"/>
    <row r="124" ht="13.5"/>
    <row r="125" ht="13.5"/>
    <row r="126" ht="13.5"/>
    <row r="127" ht="13.5"/>
    <row r="128" ht="13.5"/>
    <row r="129" ht="13.5"/>
    <row r="130" ht="13.5"/>
    <row r="131" ht="13.5"/>
    <row r="132" ht="13.5"/>
    <row r="133" ht="13.5"/>
    <row r="134" ht="13.5"/>
    <row r="135" ht="13.5"/>
    <row r="136" ht="13.5"/>
    <row r="137" ht="13.5"/>
    <row r="138" ht="13.5"/>
    <row r="139" ht="13.5"/>
    <row r="140" ht="13.5"/>
    <row r="141" ht="13.5"/>
    <row r="142" ht="13.5"/>
    <row r="143" ht="13.5"/>
    <row r="144" ht="13.5"/>
    <row r="145" ht="13.5"/>
    <row r="146" ht="13.5"/>
    <row r="147" ht="13.5"/>
    <row r="148" ht="13.5"/>
    <row r="149" ht="13.5"/>
    <row r="150" ht="13.5"/>
    <row r="151" ht="13.5"/>
    <row r="152" ht="13.5"/>
    <row r="153" ht="13.5"/>
    <row r="154" ht="13.5"/>
    <row r="155" ht="13.5"/>
    <row r="156" ht="13.5"/>
    <row r="157" ht="13.5"/>
    <row r="158" ht="13.5"/>
    <row r="159" ht="13.5"/>
    <row r="160" ht="13.5"/>
    <row r="161" ht="13.5"/>
    <row r="162" ht="13.5"/>
    <row r="163" ht="13.5"/>
    <row r="164" ht="13.5"/>
    <row r="165" ht="13.5"/>
    <row r="166" ht="13.5"/>
    <row r="167" ht="13.5"/>
    <row r="168" ht="13.5"/>
    <row r="169" ht="13.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01044-E471-43E1-8CE4-1851AEFA36C5}">
  <sheetPr codeName="Sheet8"/>
  <dimension ref="B1:F124"/>
  <sheetViews>
    <sheetView showGridLines="0" topLeftCell="A75" workbookViewId="0">
      <selection activeCell="B86" sqref="B85:F86"/>
    </sheetView>
  </sheetViews>
  <sheetFormatPr defaultRowHeight="17.100000000000001" customHeight="1"/>
  <cols>
    <col min="1" max="1" width="1.7109375" customWidth="1"/>
    <col min="2" max="2" width="17" style="6" bestFit="1" customWidth="1"/>
    <col min="3" max="3" width="13.140625" style="6" bestFit="1" customWidth="1"/>
    <col min="4" max="4" width="9.5703125" style="6" bestFit="1" customWidth="1"/>
    <col min="5" max="6" width="13.140625" style="6" bestFit="1" customWidth="1"/>
  </cols>
  <sheetData>
    <row r="1" spans="2:6" ht="9.9499999999999993" customHeight="1"/>
    <row r="2" spans="2:6" ht="25.15" customHeight="1">
      <c r="B2" s="9" t="s">
        <v>208</v>
      </c>
      <c r="C2" s="9"/>
      <c r="D2" s="9"/>
      <c r="E2" s="9"/>
      <c r="F2" s="9"/>
    </row>
    <row r="3" spans="2:6" ht="13.5"/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45089</v>
      </c>
      <c r="C5" s="6" t="s">
        <v>12</v>
      </c>
      <c r="D5" s="6" t="s">
        <v>13</v>
      </c>
      <c r="E5" s="6" t="s">
        <v>1</v>
      </c>
      <c r="F5" s="6" t="s">
        <v>14</v>
      </c>
    </row>
    <row r="6" spans="2:6" ht="13.5">
      <c r="B6" s="14">
        <v>45090</v>
      </c>
      <c r="C6" s="6" t="s">
        <v>15</v>
      </c>
      <c r="D6" s="6" t="s">
        <v>16</v>
      </c>
      <c r="E6" s="6" t="s">
        <v>1</v>
      </c>
      <c r="F6" s="6" t="s">
        <v>14</v>
      </c>
    </row>
    <row r="7" spans="2:6" ht="13.5">
      <c r="B7" s="14">
        <v>45091</v>
      </c>
      <c r="C7" s="6" t="s">
        <v>17</v>
      </c>
      <c r="D7" s="6" t="s">
        <v>18</v>
      </c>
      <c r="E7" s="6" t="s">
        <v>1</v>
      </c>
      <c r="F7" s="6" t="s">
        <v>14</v>
      </c>
    </row>
    <row r="8" spans="2:6" ht="13.5">
      <c r="B8" s="14">
        <v>45092</v>
      </c>
      <c r="C8" s="6" t="s">
        <v>19</v>
      </c>
      <c r="D8" s="6" t="s">
        <v>20</v>
      </c>
      <c r="E8" s="6" t="s">
        <v>1</v>
      </c>
      <c r="F8" s="6" t="s">
        <v>14</v>
      </c>
    </row>
    <row r="9" spans="2:6" ht="13.5">
      <c r="B9" s="14">
        <v>45093</v>
      </c>
      <c r="C9" s="6" t="s">
        <v>21</v>
      </c>
      <c r="D9" s="6" t="s">
        <v>22</v>
      </c>
      <c r="E9" s="6" t="s">
        <v>1</v>
      </c>
      <c r="F9" s="6" t="s">
        <v>14</v>
      </c>
    </row>
    <row r="10" spans="2:6" ht="13.5">
      <c r="B10" s="14">
        <v>45096</v>
      </c>
      <c r="C10" s="6" t="s">
        <v>30</v>
      </c>
      <c r="D10" s="6" t="s">
        <v>13</v>
      </c>
      <c r="E10" s="6" t="s">
        <v>1</v>
      </c>
      <c r="F10" s="6" t="s">
        <v>29</v>
      </c>
    </row>
    <row r="11" spans="2:6" ht="13.5">
      <c r="B11" s="14">
        <v>45097</v>
      </c>
      <c r="C11" s="6" t="s">
        <v>31</v>
      </c>
      <c r="D11" s="6" t="s">
        <v>16</v>
      </c>
      <c r="E11" s="6" t="s">
        <v>1</v>
      </c>
      <c r="F11" s="6" t="s">
        <v>29</v>
      </c>
    </row>
    <row r="12" spans="2:6" ht="13.5">
      <c r="B12" s="14">
        <v>45098</v>
      </c>
      <c r="C12" s="6" t="s">
        <v>32</v>
      </c>
      <c r="D12" s="6" t="s">
        <v>18</v>
      </c>
      <c r="E12" s="6" t="s">
        <v>1</v>
      </c>
      <c r="F12" s="6" t="s">
        <v>29</v>
      </c>
    </row>
    <row r="13" spans="2:6" ht="13.5">
      <c r="B13" s="14">
        <v>45099</v>
      </c>
      <c r="C13" s="6" t="s">
        <v>33</v>
      </c>
      <c r="D13" s="6" t="s">
        <v>20</v>
      </c>
      <c r="E13" s="6" t="s">
        <v>1</v>
      </c>
      <c r="F13" s="6" t="s">
        <v>29</v>
      </c>
    </row>
    <row r="14" spans="2:6" ht="13.5">
      <c r="B14" s="14">
        <v>45100</v>
      </c>
      <c r="C14" s="6" t="s">
        <v>34</v>
      </c>
      <c r="D14" s="6" t="s">
        <v>22</v>
      </c>
      <c r="E14" s="6" t="s">
        <v>1</v>
      </c>
      <c r="F14" s="6" t="s">
        <v>29</v>
      </c>
    </row>
    <row r="15" spans="2:6" ht="13.5">
      <c r="B15" s="14">
        <v>45103</v>
      </c>
      <c r="C15" s="6" t="s">
        <v>38</v>
      </c>
      <c r="D15" s="6" t="s">
        <v>13</v>
      </c>
      <c r="E15" s="6" t="s">
        <v>1</v>
      </c>
      <c r="F15" s="6" t="s">
        <v>37</v>
      </c>
    </row>
    <row r="16" spans="2:6" ht="13.5">
      <c r="B16" s="14">
        <v>45104</v>
      </c>
      <c r="C16" s="6" t="s">
        <v>39</v>
      </c>
      <c r="D16" s="6" t="s">
        <v>16</v>
      </c>
      <c r="E16" s="6" t="s">
        <v>1</v>
      </c>
      <c r="F16" s="6" t="s">
        <v>37</v>
      </c>
    </row>
    <row r="17" spans="2:6" ht="13.5">
      <c r="B17" s="14">
        <v>45105</v>
      </c>
      <c r="C17" s="6" t="s">
        <v>40</v>
      </c>
      <c r="D17" s="6" t="s">
        <v>18</v>
      </c>
      <c r="E17" s="6" t="s">
        <v>1</v>
      </c>
      <c r="F17" s="6" t="s">
        <v>37</v>
      </c>
    </row>
    <row r="18" spans="2:6" ht="13.5">
      <c r="B18" s="14">
        <v>45106</v>
      </c>
      <c r="C18" s="6" t="s">
        <v>41</v>
      </c>
      <c r="D18" s="6" t="s">
        <v>20</v>
      </c>
      <c r="E18" s="6" t="s">
        <v>1</v>
      </c>
      <c r="F18" s="6" t="s">
        <v>37</v>
      </c>
    </row>
    <row r="19" spans="2:6" ht="13.5">
      <c r="B19" s="14">
        <v>45107</v>
      </c>
      <c r="C19" s="6" t="s">
        <v>42</v>
      </c>
      <c r="D19" s="6" t="s">
        <v>22</v>
      </c>
      <c r="E19" s="6" t="s">
        <v>1</v>
      </c>
      <c r="F19" s="6" t="s">
        <v>37</v>
      </c>
    </row>
    <row r="20" spans="2:6" ht="13.5">
      <c r="B20" s="14">
        <v>45110</v>
      </c>
      <c r="C20" s="6" t="s">
        <v>46</v>
      </c>
      <c r="D20" s="6" t="s">
        <v>13</v>
      </c>
      <c r="E20" s="6" t="s">
        <v>1</v>
      </c>
      <c r="F20" s="6" t="s">
        <v>45</v>
      </c>
    </row>
    <row r="21" spans="2:6" ht="13.5">
      <c r="B21" s="14">
        <v>45111</v>
      </c>
      <c r="C21" s="6" t="s">
        <v>47</v>
      </c>
      <c r="D21" s="6" t="s">
        <v>16</v>
      </c>
      <c r="E21" s="6" t="s">
        <v>1</v>
      </c>
      <c r="F21" s="6" t="s">
        <v>45</v>
      </c>
    </row>
    <row r="22" spans="2:6" ht="13.5">
      <c r="B22" s="14">
        <v>45112</v>
      </c>
      <c r="C22" s="6" t="s">
        <v>48</v>
      </c>
      <c r="D22" s="6" t="s">
        <v>18</v>
      </c>
      <c r="E22" s="6" t="s">
        <v>1</v>
      </c>
      <c r="F22" s="6" t="s">
        <v>45</v>
      </c>
    </row>
    <row r="23" spans="2:6" ht="13.5">
      <c r="B23" s="14">
        <v>45113</v>
      </c>
      <c r="C23" s="6" t="s">
        <v>49</v>
      </c>
      <c r="D23" s="6" t="s">
        <v>20</v>
      </c>
      <c r="E23" s="6" t="s">
        <v>1</v>
      </c>
      <c r="F23" s="6" t="s">
        <v>45</v>
      </c>
    </row>
    <row r="24" spans="2:6" ht="13.5">
      <c r="B24" s="14">
        <v>45114</v>
      </c>
      <c r="C24" s="6" t="s">
        <v>50</v>
      </c>
      <c r="D24" s="6" t="s">
        <v>22</v>
      </c>
      <c r="E24" s="6" t="s">
        <v>1</v>
      </c>
      <c r="F24" s="6" t="s">
        <v>45</v>
      </c>
    </row>
    <row r="25" spans="2:6" ht="13.5">
      <c r="B25" s="14">
        <v>45117</v>
      </c>
      <c r="C25" s="6" t="s">
        <v>54</v>
      </c>
      <c r="D25" s="6" t="s">
        <v>13</v>
      </c>
      <c r="E25" s="6" t="s">
        <v>1</v>
      </c>
      <c r="F25" s="6" t="s">
        <v>53</v>
      </c>
    </row>
    <row r="26" spans="2:6" ht="13.5">
      <c r="B26" s="14">
        <v>45118</v>
      </c>
      <c r="C26" s="6" t="s">
        <v>55</v>
      </c>
      <c r="D26" s="6" t="s">
        <v>16</v>
      </c>
      <c r="E26" s="6" t="s">
        <v>1</v>
      </c>
      <c r="F26" s="6" t="s">
        <v>53</v>
      </c>
    </row>
    <row r="27" spans="2:6" ht="13.5">
      <c r="B27" s="14">
        <v>45119</v>
      </c>
      <c r="C27" s="6" t="s">
        <v>56</v>
      </c>
      <c r="D27" s="6" t="s">
        <v>18</v>
      </c>
      <c r="E27" s="6" t="s">
        <v>1</v>
      </c>
      <c r="F27" s="6" t="s">
        <v>53</v>
      </c>
    </row>
    <row r="28" spans="2:6" ht="13.5">
      <c r="B28" s="14">
        <v>45120</v>
      </c>
      <c r="C28" s="6" t="s">
        <v>57</v>
      </c>
      <c r="D28" s="6" t="s">
        <v>20</v>
      </c>
      <c r="E28" s="6" t="s">
        <v>1</v>
      </c>
      <c r="F28" s="6" t="s">
        <v>53</v>
      </c>
    </row>
    <row r="29" spans="2:6" ht="13.5">
      <c r="B29" s="14">
        <v>45121</v>
      </c>
      <c r="C29" s="6" t="s">
        <v>58</v>
      </c>
      <c r="D29" s="6" t="s">
        <v>22</v>
      </c>
      <c r="E29" s="6" t="s">
        <v>1</v>
      </c>
      <c r="F29" s="6" t="s">
        <v>53</v>
      </c>
    </row>
    <row r="30" spans="2:6" ht="13.5">
      <c r="B30" s="14">
        <v>45124</v>
      </c>
      <c r="C30" s="6" t="s">
        <v>62</v>
      </c>
      <c r="D30" s="6" t="s">
        <v>13</v>
      </c>
      <c r="E30" s="6" t="s">
        <v>1</v>
      </c>
      <c r="F30" s="6" t="s">
        <v>61</v>
      </c>
    </row>
    <row r="31" spans="2:6" ht="13.5">
      <c r="B31" s="14">
        <v>45125</v>
      </c>
      <c r="C31" s="6" t="s">
        <v>63</v>
      </c>
      <c r="D31" s="6" t="s">
        <v>16</v>
      </c>
      <c r="E31" s="6" t="s">
        <v>1</v>
      </c>
      <c r="F31" s="6" t="s">
        <v>61</v>
      </c>
    </row>
    <row r="32" spans="2:6" ht="13.5">
      <c r="B32" s="14">
        <v>45126</v>
      </c>
      <c r="C32" s="6" t="s">
        <v>64</v>
      </c>
      <c r="D32" s="6" t="s">
        <v>18</v>
      </c>
      <c r="E32" s="6" t="s">
        <v>1</v>
      </c>
      <c r="F32" s="6" t="s">
        <v>61</v>
      </c>
    </row>
    <row r="33" spans="2:6" ht="13.5">
      <c r="B33" s="14">
        <v>45127</v>
      </c>
      <c r="C33" s="6" t="s">
        <v>65</v>
      </c>
      <c r="D33" s="6" t="s">
        <v>20</v>
      </c>
      <c r="E33" s="6" t="s">
        <v>1</v>
      </c>
      <c r="F33" s="6" t="s">
        <v>61</v>
      </c>
    </row>
    <row r="34" spans="2:6" ht="13.5">
      <c r="B34" s="14">
        <v>45128</v>
      </c>
      <c r="C34" s="6" t="s">
        <v>66</v>
      </c>
      <c r="D34" s="6" t="s">
        <v>22</v>
      </c>
      <c r="E34" s="6" t="s">
        <v>1</v>
      </c>
      <c r="F34" s="6" t="s">
        <v>61</v>
      </c>
    </row>
    <row r="35" spans="2:6" ht="13.5">
      <c r="B35" s="14">
        <v>45131</v>
      </c>
      <c r="C35" s="6" t="s">
        <v>70</v>
      </c>
      <c r="D35" s="6" t="s">
        <v>13</v>
      </c>
      <c r="E35" s="6" t="s">
        <v>1</v>
      </c>
      <c r="F35" s="6" t="s">
        <v>69</v>
      </c>
    </row>
    <row r="36" spans="2:6" ht="13.5">
      <c r="B36" s="14">
        <v>45132</v>
      </c>
      <c r="C36" s="6" t="s">
        <v>71</v>
      </c>
      <c r="D36" s="6" t="s">
        <v>16</v>
      </c>
      <c r="E36" s="6" t="s">
        <v>1</v>
      </c>
      <c r="F36" s="6" t="s">
        <v>69</v>
      </c>
    </row>
    <row r="37" spans="2:6" ht="13.5">
      <c r="B37" s="14">
        <v>45133</v>
      </c>
      <c r="C37" s="6" t="s">
        <v>72</v>
      </c>
      <c r="D37" s="6" t="s">
        <v>18</v>
      </c>
      <c r="E37" s="6" t="s">
        <v>1</v>
      </c>
      <c r="F37" s="6" t="s">
        <v>69</v>
      </c>
    </row>
    <row r="38" spans="2:6" ht="13.5">
      <c r="B38" s="14">
        <v>45134</v>
      </c>
      <c r="C38" s="6" t="s">
        <v>73</v>
      </c>
      <c r="D38" s="6" t="s">
        <v>20</v>
      </c>
      <c r="E38" s="6" t="s">
        <v>1</v>
      </c>
      <c r="F38" s="6" t="s">
        <v>69</v>
      </c>
    </row>
    <row r="39" spans="2:6" ht="13.5">
      <c r="B39" s="14">
        <v>45135</v>
      </c>
      <c r="C39" s="6" t="s">
        <v>74</v>
      </c>
      <c r="D39" s="6" t="s">
        <v>22</v>
      </c>
      <c r="E39" s="6" t="s">
        <v>1</v>
      </c>
      <c r="F39" s="6" t="s">
        <v>69</v>
      </c>
    </row>
    <row r="40" spans="2:6" ht="13.5">
      <c r="B40" s="14">
        <v>45138</v>
      </c>
      <c r="C40" s="6" t="s">
        <v>78</v>
      </c>
      <c r="D40" s="6" t="s">
        <v>13</v>
      </c>
      <c r="E40" s="6" t="s">
        <v>1</v>
      </c>
      <c r="F40" s="6" t="s">
        <v>77</v>
      </c>
    </row>
    <row r="41" spans="2:6" ht="13.5">
      <c r="B41" s="14">
        <v>45139</v>
      </c>
      <c r="C41" s="6" t="s">
        <v>79</v>
      </c>
      <c r="D41" s="6" t="s">
        <v>16</v>
      </c>
      <c r="E41" s="6" t="s">
        <v>1</v>
      </c>
      <c r="F41" s="6" t="s">
        <v>77</v>
      </c>
    </row>
    <row r="42" spans="2:6" ht="13.5">
      <c r="B42" s="14">
        <v>45140</v>
      </c>
      <c r="C42" s="6" t="s">
        <v>80</v>
      </c>
      <c r="D42" s="6" t="s">
        <v>18</v>
      </c>
      <c r="E42" s="6" t="s">
        <v>1</v>
      </c>
      <c r="F42" s="6" t="s">
        <v>77</v>
      </c>
    </row>
    <row r="43" spans="2:6" ht="13.5">
      <c r="B43" s="14">
        <v>45141</v>
      </c>
      <c r="C43" s="6" t="s">
        <v>81</v>
      </c>
      <c r="D43" s="6" t="s">
        <v>20</v>
      </c>
      <c r="E43" s="6" t="s">
        <v>1</v>
      </c>
      <c r="F43" s="6" t="s">
        <v>77</v>
      </c>
    </row>
    <row r="44" spans="2:6" ht="13.5">
      <c r="B44" s="14">
        <v>45142</v>
      </c>
      <c r="C44" s="6" t="s">
        <v>82</v>
      </c>
      <c r="D44" s="6" t="s">
        <v>22</v>
      </c>
      <c r="E44" s="6" t="s">
        <v>1</v>
      </c>
      <c r="F44" s="6" t="s">
        <v>77</v>
      </c>
    </row>
    <row r="45" spans="2:6" ht="13.5">
      <c r="B45" s="14">
        <v>45145</v>
      </c>
      <c r="C45" s="6" t="s">
        <v>86</v>
      </c>
      <c r="D45" s="6" t="s">
        <v>13</v>
      </c>
      <c r="E45" s="6" t="s">
        <v>1</v>
      </c>
      <c r="F45" s="6" t="s">
        <v>85</v>
      </c>
    </row>
    <row r="46" spans="2:6" ht="13.5">
      <c r="B46" s="14">
        <v>45146</v>
      </c>
      <c r="C46" s="6" t="s">
        <v>87</v>
      </c>
      <c r="D46" s="6" t="s">
        <v>16</v>
      </c>
      <c r="E46" s="6" t="s">
        <v>1</v>
      </c>
      <c r="F46" s="6" t="s">
        <v>85</v>
      </c>
    </row>
    <row r="47" spans="2:6" ht="13.5">
      <c r="B47" s="14">
        <v>45147</v>
      </c>
      <c r="C47" s="6" t="s">
        <v>88</v>
      </c>
      <c r="D47" s="6" t="s">
        <v>18</v>
      </c>
      <c r="E47" s="6" t="s">
        <v>1</v>
      </c>
      <c r="F47" s="6" t="s">
        <v>85</v>
      </c>
    </row>
    <row r="48" spans="2:6" ht="13.5">
      <c r="B48" s="14">
        <v>45148</v>
      </c>
      <c r="C48" s="6" t="s">
        <v>89</v>
      </c>
      <c r="D48" s="6" t="s">
        <v>20</v>
      </c>
      <c r="E48" s="6" t="s">
        <v>1</v>
      </c>
      <c r="F48" s="6" t="s">
        <v>85</v>
      </c>
    </row>
    <row r="49" spans="2:6" ht="13.5">
      <c r="B49" s="14">
        <v>45149</v>
      </c>
      <c r="C49" s="6" t="s">
        <v>90</v>
      </c>
      <c r="D49" s="6" t="s">
        <v>22</v>
      </c>
      <c r="E49" s="6" t="s">
        <v>1</v>
      </c>
      <c r="F49" s="6" t="s">
        <v>85</v>
      </c>
    </row>
    <row r="50" spans="2:6" ht="13.5">
      <c r="B50" s="14">
        <v>45152</v>
      </c>
      <c r="C50" s="6" t="s">
        <v>94</v>
      </c>
      <c r="D50" s="6" t="s">
        <v>13</v>
      </c>
      <c r="E50" s="6" t="s">
        <v>1</v>
      </c>
      <c r="F50" s="6" t="s">
        <v>93</v>
      </c>
    </row>
    <row r="51" spans="2:6" ht="13.5">
      <c r="B51" s="14">
        <v>45154</v>
      </c>
      <c r="C51" s="6" t="s">
        <v>97</v>
      </c>
      <c r="D51" s="6" t="s">
        <v>18</v>
      </c>
      <c r="E51" s="6" t="s">
        <v>1</v>
      </c>
      <c r="F51" s="6" t="s">
        <v>93</v>
      </c>
    </row>
    <row r="52" spans="2:6" ht="13.5">
      <c r="B52" s="14">
        <v>45155</v>
      </c>
      <c r="C52" s="6" t="s">
        <v>98</v>
      </c>
      <c r="D52" s="6" t="s">
        <v>20</v>
      </c>
      <c r="E52" s="6" t="s">
        <v>1</v>
      </c>
      <c r="F52" s="6" t="s">
        <v>93</v>
      </c>
    </row>
    <row r="53" spans="2:6" ht="13.5">
      <c r="B53" s="14">
        <v>45156</v>
      </c>
      <c r="C53" s="6" t="s">
        <v>99</v>
      </c>
      <c r="D53" s="6" t="s">
        <v>22</v>
      </c>
      <c r="E53" s="6" t="s">
        <v>1</v>
      </c>
      <c r="F53" s="6" t="s">
        <v>93</v>
      </c>
    </row>
    <row r="54" spans="2:6" ht="13.5">
      <c r="B54" s="14">
        <v>45159</v>
      </c>
      <c r="C54" s="6" t="s">
        <v>103</v>
      </c>
      <c r="D54" s="6" t="s">
        <v>13</v>
      </c>
      <c r="E54" s="6" t="s">
        <v>1</v>
      </c>
      <c r="F54" s="6" t="s">
        <v>102</v>
      </c>
    </row>
    <row r="55" spans="2:6" ht="13.5">
      <c r="B55" s="14">
        <v>45160</v>
      </c>
      <c r="C55" s="6" t="s">
        <v>104</v>
      </c>
      <c r="D55" s="6" t="s">
        <v>16</v>
      </c>
      <c r="E55" s="6" t="s">
        <v>1</v>
      </c>
      <c r="F55" s="6" t="s">
        <v>102</v>
      </c>
    </row>
    <row r="56" spans="2:6" ht="13.5">
      <c r="B56" s="14">
        <v>45161</v>
      </c>
      <c r="C56" s="6" t="s">
        <v>105</v>
      </c>
      <c r="D56" s="6" t="s">
        <v>18</v>
      </c>
      <c r="E56" s="6" t="s">
        <v>1</v>
      </c>
      <c r="F56" s="6" t="s">
        <v>102</v>
      </c>
    </row>
    <row r="57" spans="2:6" ht="13.5">
      <c r="B57" s="14">
        <v>45162</v>
      </c>
      <c r="C57" s="6" t="s">
        <v>106</v>
      </c>
      <c r="D57" s="6" t="s">
        <v>20</v>
      </c>
      <c r="E57" s="6" t="s">
        <v>1</v>
      </c>
      <c r="F57" s="6" t="s">
        <v>102</v>
      </c>
    </row>
    <row r="58" spans="2:6" ht="13.5">
      <c r="B58" s="14">
        <v>45163</v>
      </c>
      <c r="C58" s="6" t="s">
        <v>107</v>
      </c>
      <c r="D58" s="6" t="s">
        <v>22</v>
      </c>
      <c r="E58" s="6" t="s">
        <v>1</v>
      </c>
      <c r="F58" s="6" t="s">
        <v>102</v>
      </c>
    </row>
    <row r="59" spans="2:6" ht="13.5">
      <c r="B59" s="14">
        <v>45166</v>
      </c>
      <c r="C59" s="6" t="s">
        <v>111</v>
      </c>
      <c r="D59" s="6" t="s">
        <v>13</v>
      </c>
      <c r="E59" s="6" t="s">
        <v>1</v>
      </c>
      <c r="F59" s="6" t="s">
        <v>110</v>
      </c>
    </row>
    <row r="60" spans="2:6" ht="13.5">
      <c r="B60" s="14">
        <v>45167</v>
      </c>
      <c r="C60" s="6" t="s">
        <v>112</v>
      </c>
      <c r="D60" s="6" t="s">
        <v>16</v>
      </c>
      <c r="E60" s="6" t="s">
        <v>1</v>
      </c>
      <c r="F60" s="6" t="s">
        <v>110</v>
      </c>
    </row>
    <row r="61" spans="2:6" ht="13.5">
      <c r="B61" s="14">
        <v>45168</v>
      </c>
      <c r="C61" s="6" t="s">
        <v>113</v>
      </c>
      <c r="D61" s="6" t="s">
        <v>18</v>
      </c>
      <c r="E61" s="6" t="s">
        <v>1</v>
      </c>
      <c r="F61" s="6" t="s">
        <v>110</v>
      </c>
    </row>
    <row r="62" spans="2:6" ht="13.5">
      <c r="B62" s="14">
        <v>45169</v>
      </c>
      <c r="C62" s="6" t="s">
        <v>114</v>
      </c>
      <c r="D62" s="6" t="s">
        <v>20</v>
      </c>
      <c r="E62" s="6" t="s">
        <v>1</v>
      </c>
      <c r="F62" s="6" t="s">
        <v>110</v>
      </c>
    </row>
    <row r="63" spans="2:6" ht="13.5">
      <c r="B63" s="14">
        <v>45170</v>
      </c>
      <c r="C63" s="6" t="s">
        <v>115</v>
      </c>
      <c r="D63" s="6" t="s">
        <v>22</v>
      </c>
      <c r="E63" s="6" t="s">
        <v>1</v>
      </c>
      <c r="F63" s="6" t="s">
        <v>110</v>
      </c>
    </row>
    <row r="64" spans="2:6" ht="13.5">
      <c r="B64" s="14">
        <v>45173</v>
      </c>
      <c r="C64" s="6" t="s">
        <v>119</v>
      </c>
      <c r="D64" s="6" t="s">
        <v>13</v>
      </c>
      <c r="E64" s="6" t="s">
        <v>1</v>
      </c>
      <c r="F64" s="6" t="s">
        <v>118</v>
      </c>
    </row>
    <row r="65" spans="2:6" ht="13.5">
      <c r="B65" s="14">
        <v>45174</v>
      </c>
      <c r="C65" s="6" t="s">
        <v>120</v>
      </c>
      <c r="D65" s="6" t="s">
        <v>16</v>
      </c>
      <c r="E65" s="6" t="s">
        <v>1</v>
      </c>
      <c r="F65" s="6" t="s">
        <v>118</v>
      </c>
    </row>
    <row r="66" spans="2:6" ht="13.5">
      <c r="B66" s="14">
        <v>45175</v>
      </c>
      <c r="C66" s="6" t="s">
        <v>121</v>
      </c>
      <c r="D66" s="6" t="s">
        <v>18</v>
      </c>
      <c r="E66" s="6" t="s">
        <v>1</v>
      </c>
      <c r="F66" s="6" t="s">
        <v>118</v>
      </c>
    </row>
    <row r="67" spans="2:6" ht="13.5">
      <c r="B67" s="14">
        <v>45176</v>
      </c>
      <c r="C67" s="6" t="s">
        <v>122</v>
      </c>
      <c r="D67" s="6" t="s">
        <v>20</v>
      </c>
      <c r="E67" s="6" t="s">
        <v>1</v>
      </c>
      <c r="F67" s="6" t="s">
        <v>118</v>
      </c>
    </row>
    <row r="68" spans="2:6" ht="13.5">
      <c r="B68" s="14">
        <v>45177</v>
      </c>
      <c r="C68" s="6" t="s">
        <v>123</v>
      </c>
      <c r="D68" s="6" t="s">
        <v>22</v>
      </c>
      <c r="E68" s="6" t="s">
        <v>1</v>
      </c>
      <c r="F68" s="6" t="s">
        <v>118</v>
      </c>
    </row>
    <row r="69" spans="2:6" ht="13.5">
      <c r="B69" s="14">
        <v>45180</v>
      </c>
      <c r="C69" s="6" t="s">
        <v>127</v>
      </c>
      <c r="D69" s="6" t="s">
        <v>13</v>
      </c>
      <c r="E69" s="6" t="s">
        <v>1</v>
      </c>
      <c r="F69" s="6" t="s">
        <v>126</v>
      </c>
    </row>
    <row r="70" spans="2:6" ht="13.5">
      <c r="B70" s="14">
        <v>45181</v>
      </c>
      <c r="C70" s="6" t="s">
        <v>128</v>
      </c>
      <c r="D70" s="6" t="s">
        <v>16</v>
      </c>
      <c r="E70" s="6" t="s">
        <v>1</v>
      </c>
      <c r="F70" s="6" t="s">
        <v>126</v>
      </c>
    </row>
    <row r="71" spans="2:6" ht="13.5">
      <c r="B71" s="14">
        <v>45182</v>
      </c>
      <c r="C71" s="6" t="s">
        <v>129</v>
      </c>
      <c r="D71" s="6" t="s">
        <v>18</v>
      </c>
      <c r="E71" s="6" t="s">
        <v>1</v>
      </c>
      <c r="F71" s="6" t="s">
        <v>126</v>
      </c>
    </row>
    <row r="72" spans="2:6" ht="13.5">
      <c r="B72" s="14">
        <v>45183</v>
      </c>
      <c r="C72" s="6" t="s">
        <v>130</v>
      </c>
      <c r="D72" s="6" t="s">
        <v>20</v>
      </c>
      <c r="E72" s="6" t="s">
        <v>1</v>
      </c>
      <c r="F72" s="6" t="s">
        <v>126</v>
      </c>
    </row>
    <row r="73" spans="2:6" ht="13.5">
      <c r="B73" s="14">
        <v>45184</v>
      </c>
      <c r="C73" s="6" t="s">
        <v>131</v>
      </c>
      <c r="D73" s="6" t="s">
        <v>22</v>
      </c>
      <c r="E73" s="6" t="s">
        <v>1</v>
      </c>
      <c r="F73" s="6" t="s">
        <v>126</v>
      </c>
    </row>
    <row r="74" spans="2:6" ht="13.5">
      <c r="B74" s="14">
        <v>45187</v>
      </c>
      <c r="C74" s="6" t="s">
        <v>135</v>
      </c>
      <c r="D74" s="6" t="s">
        <v>13</v>
      </c>
      <c r="E74" s="6" t="s">
        <v>1</v>
      </c>
      <c r="F74" s="6" t="s">
        <v>134</v>
      </c>
    </row>
    <row r="75" spans="2:6" ht="13.5">
      <c r="B75" s="14">
        <v>45188</v>
      </c>
      <c r="C75" s="6" t="s">
        <v>136</v>
      </c>
      <c r="D75" s="6" t="s">
        <v>16</v>
      </c>
      <c r="E75" s="6" t="s">
        <v>1</v>
      </c>
      <c r="F75" s="6" t="s">
        <v>134</v>
      </c>
    </row>
    <row r="76" spans="2:6" ht="13.5">
      <c r="B76" s="14">
        <v>45189</v>
      </c>
      <c r="C76" s="6" t="s">
        <v>137</v>
      </c>
      <c r="D76" s="6" t="s">
        <v>18</v>
      </c>
      <c r="E76" s="6" t="s">
        <v>1</v>
      </c>
      <c r="F76" s="6" t="s">
        <v>134</v>
      </c>
    </row>
    <row r="77" spans="2:6" ht="13.5">
      <c r="B77" s="14">
        <v>45190</v>
      </c>
      <c r="C77" s="6" t="s">
        <v>138</v>
      </c>
      <c r="D77" s="6" t="s">
        <v>20</v>
      </c>
      <c r="E77" s="6" t="s">
        <v>1</v>
      </c>
      <c r="F77" s="6" t="s">
        <v>134</v>
      </c>
    </row>
    <row r="78" spans="2:6" ht="13.5">
      <c r="B78" s="14">
        <v>45191</v>
      </c>
      <c r="C78" s="6" t="s">
        <v>139</v>
      </c>
      <c r="D78" s="6" t="s">
        <v>22</v>
      </c>
      <c r="E78" s="6" t="s">
        <v>1</v>
      </c>
      <c r="F78" s="6" t="s">
        <v>134</v>
      </c>
    </row>
    <row r="79" spans="2:6" ht="13.5">
      <c r="B79" s="14">
        <v>45194</v>
      </c>
      <c r="C79" s="6" t="s">
        <v>143</v>
      </c>
      <c r="D79" s="6" t="s">
        <v>13</v>
      </c>
      <c r="E79" s="6" t="s">
        <v>1</v>
      </c>
      <c r="F79" s="6" t="s">
        <v>142</v>
      </c>
    </row>
    <row r="80" spans="2:6" ht="13.5">
      <c r="B80" s="14">
        <v>45195</v>
      </c>
      <c r="C80" s="6" t="s">
        <v>144</v>
      </c>
      <c r="D80" s="6" t="s">
        <v>16</v>
      </c>
      <c r="E80" s="6" t="s">
        <v>1</v>
      </c>
      <c r="F80" s="6" t="s">
        <v>142</v>
      </c>
    </row>
    <row r="81" spans="2:6" ht="13.5">
      <c r="B81" s="14">
        <v>45196</v>
      </c>
      <c r="C81" s="6" t="s">
        <v>145</v>
      </c>
      <c r="D81" s="6" t="s">
        <v>18</v>
      </c>
      <c r="E81" s="6" t="s">
        <v>1</v>
      </c>
      <c r="F81" s="6" t="s">
        <v>142</v>
      </c>
    </row>
    <row r="82" spans="2:6" ht="13.5">
      <c r="B82" s="14">
        <v>45201</v>
      </c>
      <c r="C82" s="6" t="s">
        <v>152</v>
      </c>
      <c r="D82" s="6" t="s">
        <v>13</v>
      </c>
      <c r="E82" s="6" t="s">
        <v>1</v>
      </c>
      <c r="F82" s="6" t="s">
        <v>151</v>
      </c>
    </row>
    <row r="83" spans="2:6" ht="13.5">
      <c r="B83" s="14">
        <v>45203</v>
      </c>
      <c r="C83" s="6" t="s">
        <v>155</v>
      </c>
      <c r="D83" s="6" t="s">
        <v>18</v>
      </c>
      <c r="E83" s="6" t="s">
        <v>1</v>
      </c>
      <c r="F83" s="6" t="s">
        <v>151</v>
      </c>
    </row>
    <row r="84" spans="2:6" ht="13.5">
      <c r="B84" s="14">
        <v>45204</v>
      </c>
      <c r="C84" s="6" t="s">
        <v>156</v>
      </c>
      <c r="D84" s="6" t="s">
        <v>20</v>
      </c>
      <c r="E84" s="6" t="s">
        <v>1</v>
      </c>
      <c r="F84" s="6" t="s">
        <v>151</v>
      </c>
    </row>
    <row r="85" spans="2:6" ht="13.5">
      <c r="B85" s="14">
        <v>45205</v>
      </c>
      <c r="C85" s="6" t="s">
        <v>157</v>
      </c>
      <c r="D85" s="6" t="s">
        <v>22</v>
      </c>
      <c r="E85" s="6" t="s">
        <v>1</v>
      </c>
      <c r="F85" s="6" t="s">
        <v>151</v>
      </c>
    </row>
    <row r="86" spans="2:6" ht="13.5">
      <c r="B86" s="14">
        <v>45209</v>
      </c>
      <c r="C86" s="6" t="s">
        <v>163</v>
      </c>
      <c r="D86" s="6" t="s">
        <v>16</v>
      </c>
      <c r="E86" s="6" t="s">
        <v>1</v>
      </c>
      <c r="F86" s="6" t="s">
        <v>160</v>
      </c>
    </row>
    <row r="87" spans="2:6" ht="13.5">
      <c r="B87" s="14">
        <v>45210</v>
      </c>
      <c r="C87" s="6" t="s">
        <v>164</v>
      </c>
      <c r="D87" s="6" t="s">
        <v>18</v>
      </c>
      <c r="E87" s="6" t="s">
        <v>1</v>
      </c>
      <c r="F87" s="6" t="s">
        <v>160</v>
      </c>
    </row>
    <row r="88" spans="2:6" ht="13.5">
      <c r="B88" s="14">
        <v>45211</v>
      </c>
      <c r="C88" s="6" t="s">
        <v>165</v>
      </c>
      <c r="D88" s="6" t="s">
        <v>20</v>
      </c>
      <c r="E88" s="6" t="s">
        <v>1</v>
      </c>
      <c r="F88" s="6" t="s">
        <v>160</v>
      </c>
    </row>
    <row r="89" spans="2:6" ht="13.5">
      <c r="B89" s="14">
        <v>45212</v>
      </c>
      <c r="C89" s="6" t="s">
        <v>166</v>
      </c>
      <c r="D89" s="6" t="s">
        <v>22</v>
      </c>
      <c r="E89" s="6" t="s">
        <v>1</v>
      </c>
      <c r="F89" s="6" t="s">
        <v>160</v>
      </c>
    </row>
    <row r="90" spans="2:6" ht="13.5">
      <c r="B90" s="14">
        <v>45215</v>
      </c>
      <c r="C90" s="6" t="s">
        <v>170</v>
      </c>
      <c r="D90" s="6" t="s">
        <v>13</v>
      </c>
      <c r="E90" s="6" t="s">
        <v>1</v>
      </c>
      <c r="F90" s="6" t="s">
        <v>169</v>
      </c>
    </row>
    <row r="91" spans="2:6" ht="13.5">
      <c r="B91" s="14">
        <v>45216</v>
      </c>
      <c r="C91" s="6" t="s">
        <v>171</v>
      </c>
      <c r="D91" s="6" t="s">
        <v>16</v>
      </c>
      <c r="E91" s="6" t="s">
        <v>1</v>
      </c>
      <c r="F91" s="6" t="s">
        <v>169</v>
      </c>
    </row>
    <row r="92" spans="2:6" ht="13.5">
      <c r="B92" s="14">
        <v>45217</v>
      </c>
      <c r="C92" s="6" t="s">
        <v>172</v>
      </c>
      <c r="D92" s="6" t="s">
        <v>18</v>
      </c>
      <c r="E92" s="6" t="s">
        <v>1</v>
      </c>
      <c r="F92" s="6" t="s">
        <v>169</v>
      </c>
    </row>
    <row r="93" spans="2:6" ht="13.5">
      <c r="B93" s="14">
        <v>45218</v>
      </c>
      <c r="C93" s="6" t="s">
        <v>173</v>
      </c>
      <c r="D93" s="6" t="s">
        <v>20</v>
      </c>
      <c r="E93" s="6" t="s">
        <v>1</v>
      </c>
      <c r="F93" s="6" t="s">
        <v>169</v>
      </c>
    </row>
    <row r="94" spans="2:6" ht="13.5">
      <c r="B94" s="14">
        <v>45219</v>
      </c>
      <c r="C94" s="6" t="s">
        <v>174</v>
      </c>
      <c r="D94" s="6" t="s">
        <v>22</v>
      </c>
      <c r="E94" s="6" t="s">
        <v>1</v>
      </c>
      <c r="F94" s="6" t="s">
        <v>169</v>
      </c>
    </row>
    <row r="95" spans="2:6" ht="13.5">
      <c r="B95" s="14">
        <v>45222</v>
      </c>
      <c r="C95" s="6" t="s">
        <v>178</v>
      </c>
      <c r="D95" s="6" t="s">
        <v>13</v>
      </c>
      <c r="E95" s="6" t="s">
        <v>1</v>
      </c>
      <c r="F95" s="6" t="s">
        <v>177</v>
      </c>
    </row>
    <row r="96" spans="2:6" ht="13.5">
      <c r="B96" s="14">
        <v>45223</v>
      </c>
      <c r="C96" s="6" t="s">
        <v>179</v>
      </c>
      <c r="D96" s="6" t="s">
        <v>16</v>
      </c>
      <c r="E96" s="6" t="s">
        <v>1</v>
      </c>
      <c r="F96" s="6" t="s">
        <v>177</v>
      </c>
    </row>
    <row r="97" spans="2:6" ht="13.5">
      <c r="B97" s="14">
        <v>45224</v>
      </c>
      <c r="C97" s="6" t="s">
        <v>180</v>
      </c>
      <c r="D97" s="6" t="s">
        <v>18</v>
      </c>
      <c r="E97" s="6" t="s">
        <v>1</v>
      </c>
      <c r="F97" s="6" t="s">
        <v>177</v>
      </c>
    </row>
    <row r="98" spans="2:6" ht="13.5">
      <c r="B98" s="14">
        <v>45225</v>
      </c>
      <c r="C98" s="6" t="s">
        <v>181</v>
      </c>
      <c r="D98" s="6" t="s">
        <v>20</v>
      </c>
      <c r="E98" s="6" t="s">
        <v>1</v>
      </c>
      <c r="F98" s="6" t="s">
        <v>177</v>
      </c>
    </row>
    <row r="99" spans="2:6" ht="13.5">
      <c r="B99" s="14">
        <v>45226</v>
      </c>
      <c r="C99" s="6" t="s">
        <v>182</v>
      </c>
      <c r="D99" s="6" t="s">
        <v>22</v>
      </c>
      <c r="E99" s="6" t="s">
        <v>1</v>
      </c>
      <c r="F99" s="6" t="s">
        <v>177</v>
      </c>
    </row>
    <row r="100" spans="2:6" ht="13.5">
      <c r="B100" s="14">
        <v>45229</v>
      </c>
      <c r="C100" s="6" t="s">
        <v>186</v>
      </c>
      <c r="D100" s="6" t="s">
        <v>13</v>
      </c>
      <c r="E100" s="6" t="s">
        <v>1</v>
      </c>
      <c r="F100" s="6" t="s">
        <v>185</v>
      </c>
    </row>
    <row r="101" spans="2:6" ht="13.5">
      <c r="B101" s="14">
        <v>45230</v>
      </c>
      <c r="C101" s="6" t="s">
        <v>187</v>
      </c>
      <c r="D101" s="6" t="s">
        <v>16</v>
      </c>
      <c r="E101" s="6" t="s">
        <v>1</v>
      </c>
      <c r="F101" s="6" t="s">
        <v>185</v>
      </c>
    </row>
    <row r="102" spans="2:6" ht="13.5">
      <c r="B102" s="14">
        <v>45231</v>
      </c>
      <c r="C102" s="6" t="s">
        <v>188</v>
      </c>
      <c r="D102" s="6" t="s">
        <v>18</v>
      </c>
      <c r="E102" s="6" t="s">
        <v>1</v>
      </c>
      <c r="F102" s="6" t="s">
        <v>185</v>
      </c>
    </row>
    <row r="103" spans="2:6" ht="13.5">
      <c r="B103" s="14">
        <v>45232</v>
      </c>
      <c r="C103" s="6" t="s">
        <v>189</v>
      </c>
      <c r="D103" s="6" t="s">
        <v>20</v>
      </c>
      <c r="E103" s="6" t="s">
        <v>1</v>
      </c>
      <c r="F103" s="6" t="s">
        <v>185</v>
      </c>
    </row>
    <row r="104" spans="2:6" ht="13.5">
      <c r="B104" s="14">
        <v>45233</v>
      </c>
      <c r="C104" s="6" t="s">
        <v>190</v>
      </c>
      <c r="D104" s="6" t="s">
        <v>22</v>
      </c>
      <c r="E104" s="6" t="s">
        <v>1</v>
      </c>
      <c r="F104" s="6" t="s">
        <v>185</v>
      </c>
    </row>
    <row r="105" spans="2:6" ht="13.5">
      <c r="B105" s="14">
        <v>45236</v>
      </c>
      <c r="C105" s="6" t="s">
        <v>194</v>
      </c>
      <c r="D105" s="6" t="s">
        <v>13</v>
      </c>
      <c r="E105" s="6" t="s">
        <v>1</v>
      </c>
      <c r="F105" s="6" t="s">
        <v>193</v>
      </c>
    </row>
    <row r="106" spans="2:6" ht="13.5">
      <c r="B106" s="14">
        <v>45237</v>
      </c>
      <c r="C106" s="6" t="s">
        <v>195</v>
      </c>
      <c r="D106" s="6" t="s">
        <v>16</v>
      </c>
      <c r="E106" s="6" t="s">
        <v>1</v>
      </c>
      <c r="F106" s="6" t="s">
        <v>193</v>
      </c>
    </row>
    <row r="107" spans="2:6" ht="13.5">
      <c r="B107" s="14">
        <v>45238</v>
      </c>
      <c r="C107" s="6" t="s">
        <v>196</v>
      </c>
      <c r="D107" s="6" t="s">
        <v>18</v>
      </c>
      <c r="E107" s="6" t="s">
        <v>1</v>
      </c>
      <c r="F107" s="6" t="s">
        <v>193</v>
      </c>
    </row>
    <row r="108" spans="2:6" ht="13.5">
      <c r="B108" s="14">
        <v>45239</v>
      </c>
      <c r="C108" s="6" t="s">
        <v>197</v>
      </c>
      <c r="D108" s="6" t="s">
        <v>20</v>
      </c>
      <c r="E108" s="6" t="s">
        <v>1</v>
      </c>
      <c r="F108" s="6" t="s">
        <v>193</v>
      </c>
    </row>
    <row r="109" spans="2:6" ht="13.5">
      <c r="B109" s="14">
        <v>45240</v>
      </c>
      <c r="C109" s="6" t="s">
        <v>198</v>
      </c>
      <c r="D109" s="6" t="s">
        <v>22</v>
      </c>
      <c r="E109" s="6" t="s">
        <v>1</v>
      </c>
      <c r="F109" s="6" t="s">
        <v>193</v>
      </c>
    </row>
    <row r="110" spans="2:6" ht="13.5">
      <c r="B110" s="14">
        <v>45243</v>
      </c>
      <c r="C110" s="6" t="s">
        <v>202</v>
      </c>
      <c r="D110" s="6" t="s">
        <v>13</v>
      </c>
      <c r="E110" s="6" t="s">
        <v>1</v>
      </c>
      <c r="F110" s="6" t="s">
        <v>201</v>
      </c>
    </row>
    <row r="111" spans="2:6" ht="13.5">
      <c r="B111" s="14">
        <v>45244</v>
      </c>
      <c r="C111" s="6" t="s">
        <v>203</v>
      </c>
      <c r="D111" s="6" t="s">
        <v>16</v>
      </c>
      <c r="E111" s="6" t="s">
        <v>1</v>
      </c>
      <c r="F111" s="6" t="s">
        <v>201</v>
      </c>
    </row>
    <row r="112" spans="2:6" ht="13.5">
      <c r="B112" s="14">
        <v>45245</v>
      </c>
      <c r="C112" s="6" t="s">
        <v>204</v>
      </c>
      <c r="D112" s="6" t="s">
        <v>18</v>
      </c>
      <c r="E112" s="6" t="s">
        <v>1</v>
      </c>
      <c r="F112" s="6" t="s">
        <v>201</v>
      </c>
    </row>
    <row r="113" spans="2:6" ht="13.5">
      <c r="B113" s="14">
        <v>45246</v>
      </c>
      <c r="C113" s="6" t="s">
        <v>205</v>
      </c>
      <c r="D113" s="6" t="s">
        <v>20</v>
      </c>
      <c r="E113" s="6" t="s">
        <v>1</v>
      </c>
      <c r="F113" s="6" t="s">
        <v>201</v>
      </c>
    </row>
    <row r="114" spans="2:6" ht="13.5">
      <c r="B114" s="14">
        <v>45247</v>
      </c>
      <c r="C114" s="6" t="s">
        <v>206</v>
      </c>
      <c r="D114" s="6" t="s">
        <v>22</v>
      </c>
      <c r="E114" s="6" t="s">
        <v>1</v>
      </c>
      <c r="F114" s="6" t="s">
        <v>201</v>
      </c>
    </row>
    <row r="115" spans="2:6" ht="13.5"/>
    <row r="116" spans="2:6" ht="13.5"/>
    <row r="117" spans="2:6" ht="13.5"/>
    <row r="118" spans="2:6" ht="13.5"/>
    <row r="119" spans="2:6" ht="13.5"/>
    <row r="120" spans="2:6" ht="13.5"/>
    <row r="121" spans="2:6" ht="13.5"/>
    <row r="122" spans="2:6" ht="13.5"/>
    <row r="123" spans="2:6" ht="13.5"/>
    <row r="124" spans="2:6" ht="13.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DEFB-4013-4241-ABF2-F92F203400DE}">
  <sheetPr codeName="Sheet1"/>
  <dimension ref="B1:N5"/>
  <sheetViews>
    <sheetView showGridLines="0" workbookViewId="0">
      <selection activeCell="F6" sqref="F6"/>
    </sheetView>
  </sheetViews>
  <sheetFormatPr defaultColWidth="8.85546875" defaultRowHeight="17.100000000000001" customHeight="1"/>
  <cols>
    <col min="1" max="1" width="1.7109375" style="5" customWidth="1"/>
    <col min="2" max="2" width="33.42578125" style="5" bestFit="1" customWidth="1"/>
    <col min="3" max="4" width="22.85546875" style="5" bestFit="1" customWidth="1"/>
    <col min="5" max="6" width="22.85546875" style="47" bestFit="1" customWidth="1"/>
    <col min="7" max="7" width="18.7109375" style="5" bestFit="1" customWidth="1"/>
    <col min="8" max="8" width="16.5703125" style="5" bestFit="1" customWidth="1"/>
    <col min="9" max="9" width="20.85546875" style="5" bestFit="1" customWidth="1"/>
    <col min="10" max="10" width="16.5703125" style="5" bestFit="1" customWidth="1"/>
    <col min="11" max="11" width="18.7109375" style="5" bestFit="1" customWidth="1"/>
    <col min="12" max="12" width="16.5703125" style="5" bestFit="1" customWidth="1"/>
    <col min="13" max="13" width="20.85546875" style="5" bestFit="1" customWidth="1"/>
    <col min="14" max="14" width="16.5703125" style="5" bestFit="1" customWidth="1"/>
    <col min="15" max="16384" width="8.85546875" style="5"/>
  </cols>
  <sheetData>
    <row r="1" spans="2:14" customFormat="1" ht="9.9499999999999993" customHeight="1">
      <c r="E1" s="45"/>
      <c r="F1" s="45"/>
    </row>
    <row r="2" spans="2:14" customFormat="1" ht="25.15" customHeight="1">
      <c r="B2" s="2" t="s">
        <v>209</v>
      </c>
      <c r="C2" s="2"/>
      <c r="E2" s="45"/>
      <c r="F2" s="45"/>
    </row>
    <row r="3" spans="2:14" customFormat="1" ht="17.100000000000001" customHeight="1">
      <c r="E3" s="45"/>
      <c r="F3" s="45"/>
    </row>
    <row r="4" spans="2:14" customFormat="1" ht="17.100000000000001" customHeight="1">
      <c r="B4" s="1" t="s">
        <v>210</v>
      </c>
      <c r="C4" s="1" t="s">
        <v>211</v>
      </c>
      <c r="D4" s="1" t="s">
        <v>212</v>
      </c>
      <c r="E4" s="119" t="s">
        <v>213</v>
      </c>
      <c r="F4" s="46" t="s">
        <v>214</v>
      </c>
      <c r="G4" s="1" t="s">
        <v>215</v>
      </c>
      <c r="H4" s="1" t="s">
        <v>216</v>
      </c>
      <c r="I4" s="1" t="s">
        <v>217</v>
      </c>
      <c r="J4" s="1" t="s">
        <v>218</v>
      </c>
      <c r="K4" s="1" t="s">
        <v>219</v>
      </c>
      <c r="L4" s="1" t="s">
        <v>220</v>
      </c>
      <c r="M4" s="1" t="s">
        <v>221</v>
      </c>
      <c r="N4" s="1" t="s">
        <v>222</v>
      </c>
    </row>
    <row r="5" spans="2:14" ht="17.100000000000001" customHeight="1">
      <c r="B5" s="5" t="s">
        <v>223</v>
      </c>
      <c r="C5" s="5" t="s">
        <v>224</v>
      </c>
      <c r="D5" s="5" t="s">
        <v>225</v>
      </c>
      <c r="E5" s="48" t="s">
        <v>226</v>
      </c>
      <c r="F5" s="48">
        <v>45212</v>
      </c>
      <c r="G5" s="5" t="s">
        <v>227</v>
      </c>
      <c r="H5" s="5" t="s">
        <v>228</v>
      </c>
      <c r="I5" s="5" t="s">
        <v>229</v>
      </c>
      <c r="J5" s="5" t="s">
        <v>230</v>
      </c>
      <c r="K5" s="5" t="s">
        <v>1</v>
      </c>
      <c r="L5" s="5" t="s">
        <v>1</v>
      </c>
      <c r="M5" s="5" t="s">
        <v>1</v>
      </c>
      <c r="N5" s="5" t="s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C027-E149-43A6-8BAC-96C7A9BBE804}">
  <sheetPr codeName="Sheet2">
    <tabColor rgb="FFFFC000"/>
  </sheetPr>
  <dimension ref="B1:K12"/>
  <sheetViews>
    <sheetView showGridLines="0" workbookViewId="0">
      <selection activeCell="E7" sqref="E7"/>
    </sheetView>
  </sheetViews>
  <sheetFormatPr defaultColWidth="8.85546875" defaultRowHeight="17.100000000000001" customHeight="1"/>
  <cols>
    <col min="1" max="1" width="1.7109375" style="5" customWidth="1"/>
    <col min="2" max="2" width="9.28515625" style="7" bestFit="1" customWidth="1"/>
    <col min="3" max="3" width="15.7109375" style="7" customWidth="1"/>
    <col min="4" max="4" width="21.28515625" style="7" bestFit="1" customWidth="1"/>
    <col min="5" max="7" width="15.7109375" style="7" customWidth="1"/>
    <col min="8" max="8" width="30.7109375" style="11" customWidth="1"/>
    <col min="9" max="10" width="20.7109375" style="7" customWidth="1"/>
    <col min="11" max="11" width="50.7109375" style="11" customWidth="1"/>
    <col min="12" max="16384" width="8.85546875" style="5"/>
  </cols>
  <sheetData>
    <row r="1" spans="2:11" customFormat="1" ht="9.9499999999999993" customHeight="1">
      <c r="B1" s="6"/>
      <c r="C1" s="6"/>
      <c r="D1" s="6"/>
      <c r="E1" s="6"/>
      <c r="F1" s="6"/>
      <c r="G1" s="6"/>
      <c r="H1" s="10"/>
      <c r="I1" s="6"/>
      <c r="J1" s="6"/>
      <c r="K1" s="10"/>
    </row>
    <row r="2" spans="2:11" customFormat="1" ht="25.15" customHeight="1">
      <c r="B2" s="9" t="s">
        <v>231</v>
      </c>
      <c r="C2" s="9"/>
      <c r="D2" s="9"/>
      <c r="E2" s="9"/>
      <c r="F2" s="9"/>
      <c r="G2" s="6"/>
      <c r="H2" s="10"/>
      <c r="I2" s="6"/>
      <c r="J2" s="6"/>
      <c r="K2" s="10"/>
    </row>
    <row r="3" spans="2:11" customFormat="1" ht="17.100000000000001" customHeight="1">
      <c r="B3" s="6"/>
      <c r="C3" s="6"/>
      <c r="D3" s="6"/>
      <c r="E3" s="6"/>
      <c r="F3" s="6"/>
      <c r="G3" s="6"/>
      <c r="H3" s="10"/>
      <c r="I3" s="6"/>
      <c r="J3" s="6"/>
      <c r="K3" s="10"/>
    </row>
    <row r="4" spans="2:11" s="6" customFormat="1" ht="17.100000000000001" customHeight="1">
      <c r="B4" s="1" t="s">
        <v>232</v>
      </c>
      <c r="C4" s="1" t="s">
        <v>233</v>
      </c>
      <c r="D4" s="1" t="s">
        <v>234</v>
      </c>
      <c r="E4" s="1" t="s">
        <v>235</v>
      </c>
      <c r="F4" s="1" t="s">
        <v>236</v>
      </c>
      <c r="G4" s="1" t="s">
        <v>237</v>
      </c>
      <c r="H4" s="1" t="s">
        <v>238</v>
      </c>
      <c r="I4" s="1" t="s">
        <v>239</v>
      </c>
      <c r="J4" s="1" t="s">
        <v>240</v>
      </c>
      <c r="K4" s="1" t="s">
        <v>241</v>
      </c>
    </row>
    <row r="5" spans="2:11" ht="17.100000000000001" customHeight="1">
      <c r="B5" s="8">
        <v>1</v>
      </c>
      <c r="C5" s="8" t="s">
        <v>242</v>
      </c>
      <c r="D5" s="8" t="s">
        <v>243</v>
      </c>
      <c r="E5" s="12" t="s">
        <v>244</v>
      </c>
      <c r="F5" s="8" t="s">
        <v>245</v>
      </c>
      <c r="G5" s="8" t="s">
        <v>246</v>
      </c>
      <c r="H5" s="12" t="s">
        <v>247</v>
      </c>
      <c r="I5" s="8" t="s">
        <v>248</v>
      </c>
      <c r="J5" s="8"/>
      <c r="K5" s="12" t="s">
        <v>249</v>
      </c>
    </row>
    <row r="6" spans="2:11" ht="17.100000000000001" customHeight="1">
      <c r="B6" s="8">
        <v>2</v>
      </c>
      <c r="C6" s="8" t="s">
        <v>250</v>
      </c>
      <c r="D6" s="8" t="s">
        <v>243</v>
      </c>
      <c r="E6" s="12" t="s">
        <v>251</v>
      </c>
      <c r="F6" s="8" t="s">
        <v>252</v>
      </c>
      <c r="G6" s="8" t="s">
        <v>253</v>
      </c>
      <c r="H6" s="12" t="s">
        <v>254</v>
      </c>
      <c r="I6" s="8" t="s">
        <v>255</v>
      </c>
      <c r="J6" s="8"/>
      <c r="K6" s="12" t="s">
        <v>256</v>
      </c>
    </row>
    <row r="7" spans="2:11" ht="17.100000000000001" customHeight="1">
      <c r="B7" s="8">
        <v>3</v>
      </c>
      <c r="C7" s="8"/>
      <c r="D7" s="8" t="s">
        <v>243</v>
      </c>
      <c r="E7" s="12" t="s">
        <v>257</v>
      </c>
      <c r="F7" s="8" t="s">
        <v>258</v>
      </c>
      <c r="G7" s="8"/>
      <c r="H7" s="12" t="s">
        <v>259</v>
      </c>
      <c r="I7" s="8" t="s">
        <v>260</v>
      </c>
      <c r="J7" s="8"/>
      <c r="K7" s="12" t="s">
        <v>256</v>
      </c>
    </row>
    <row r="8" spans="2:11" ht="17.100000000000001" customHeight="1">
      <c r="B8" s="8">
        <v>4</v>
      </c>
      <c r="C8" s="8"/>
      <c r="D8" s="8" t="s">
        <v>243</v>
      </c>
      <c r="E8" s="12"/>
      <c r="F8" s="8"/>
      <c r="G8" s="8"/>
      <c r="H8" s="12" t="s">
        <v>261</v>
      </c>
      <c r="I8" s="8"/>
      <c r="J8" s="8"/>
      <c r="K8" s="12" t="s">
        <v>249</v>
      </c>
    </row>
    <row r="9" spans="2:11" ht="17.100000000000001" customHeight="1">
      <c r="B9" s="8">
        <v>5</v>
      </c>
      <c r="C9" s="8"/>
      <c r="D9" s="8" t="s">
        <v>243</v>
      </c>
      <c r="E9" s="12" t="s">
        <v>262</v>
      </c>
      <c r="F9" s="8" t="s">
        <v>263</v>
      </c>
      <c r="G9" s="8"/>
      <c r="H9" s="12" t="s">
        <v>264</v>
      </c>
      <c r="I9" s="8" t="s">
        <v>265</v>
      </c>
      <c r="J9" s="8"/>
      <c r="K9" s="12" t="s">
        <v>266</v>
      </c>
    </row>
    <row r="10" spans="2:11" ht="17.100000000000001" customHeight="1">
      <c r="B10" s="8">
        <v>6</v>
      </c>
      <c r="C10" s="8"/>
      <c r="D10" s="8" t="s">
        <v>267</v>
      </c>
      <c r="E10" s="12"/>
      <c r="F10" s="8"/>
      <c r="G10" s="8"/>
      <c r="H10" s="12" t="s">
        <v>268</v>
      </c>
      <c r="I10" s="8"/>
      <c r="J10" s="8"/>
      <c r="K10" s="12" t="s">
        <v>266</v>
      </c>
    </row>
    <row r="11" spans="2:11" ht="17.100000000000001" customHeight="1">
      <c r="B11" s="8">
        <v>7</v>
      </c>
      <c r="C11" s="8"/>
      <c r="D11" s="8" t="s">
        <v>267</v>
      </c>
      <c r="E11" s="12"/>
      <c r="F11" s="8"/>
      <c r="G11" s="8"/>
      <c r="H11" s="12" t="s">
        <v>269</v>
      </c>
      <c r="I11" s="8"/>
      <c r="J11" s="8"/>
      <c r="K11" s="12" t="s">
        <v>266</v>
      </c>
    </row>
    <row r="12" spans="2:11" ht="17.100000000000001" customHeight="1">
      <c r="B12" s="8">
        <v>8</v>
      </c>
      <c r="C12" s="8"/>
      <c r="D12" s="8" t="s">
        <v>267</v>
      </c>
      <c r="E12" s="12"/>
      <c r="F12" s="8"/>
      <c r="G12" s="8"/>
      <c r="H12" s="12" t="s">
        <v>270</v>
      </c>
      <c r="I12" s="8"/>
      <c r="J12" s="8"/>
      <c r="K12" s="12" t="s">
        <v>266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ustomer_TFT_단추1_Click">
                <anchor moveWithCells="1" sizeWithCells="1">
                  <from>
                    <xdr:col>6</xdr:col>
                    <xdr:colOff>19050</xdr:colOff>
                    <xdr:row>1</xdr:row>
                    <xdr:rowOff>47625</xdr:rowOff>
                  </from>
                  <to>
                    <xdr:col>7</xdr:col>
                    <xdr:colOff>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FB89-498A-4140-9DF8-918A1556EE88}">
  <sheetPr codeName="Sheet5"/>
  <dimension ref="B1:M66"/>
  <sheetViews>
    <sheetView showGridLines="0" topLeftCell="A2" workbookViewId="0">
      <selection activeCell="C11" sqref="C11"/>
    </sheetView>
  </sheetViews>
  <sheetFormatPr defaultColWidth="9.140625" defaultRowHeight="17.100000000000001" customHeight="1"/>
  <cols>
    <col min="1" max="1" width="1.7109375" style="6" customWidth="1"/>
    <col min="2" max="2" width="9.28515625" style="6" bestFit="1" customWidth="1"/>
    <col min="3" max="3" width="16.140625" style="6" bestFit="1" customWidth="1"/>
    <col min="4" max="4" width="18.42578125" style="6" bestFit="1" customWidth="1"/>
    <col min="5" max="5" width="19.140625" style="6" bestFit="1" customWidth="1"/>
    <col min="6" max="7" width="15.85546875" style="6" bestFit="1" customWidth="1"/>
    <col min="8" max="9" width="9.5703125" style="6" bestFit="1" customWidth="1"/>
    <col min="10" max="10" width="33.28515625" style="10" bestFit="1" customWidth="1"/>
    <col min="11" max="11" width="17" style="6" bestFit="1" customWidth="1"/>
    <col min="12" max="12" width="31.140625" style="6" bestFit="1" customWidth="1"/>
    <col min="13" max="13" width="32.5703125" style="10" bestFit="1" customWidth="1"/>
    <col min="14" max="14" width="1.7109375" style="6" customWidth="1"/>
    <col min="15" max="16384" width="9.140625" style="6"/>
  </cols>
  <sheetData>
    <row r="1" spans="2:13" ht="13.5"/>
    <row r="2" spans="2:13" customFormat="1" ht="25.15" customHeight="1">
      <c r="B2" s="9" t="s">
        <v>271</v>
      </c>
      <c r="C2" s="9"/>
      <c r="D2" s="9"/>
      <c r="E2" s="9"/>
      <c r="F2" s="9"/>
      <c r="G2" s="6"/>
      <c r="H2" s="10"/>
      <c r="I2" s="6"/>
      <c r="J2" s="6"/>
      <c r="K2" s="10"/>
      <c r="L2" s="10"/>
    </row>
    <row r="3" spans="2:13" ht="13.5"/>
    <row r="4" spans="2:13" ht="13.5">
      <c r="B4" t="s">
        <v>272</v>
      </c>
      <c r="C4" s="1" t="s">
        <v>273</v>
      </c>
      <c r="D4" s="1" t="s">
        <v>274</v>
      </c>
      <c r="E4" s="1" t="s">
        <v>236</v>
      </c>
      <c r="F4" s="1" t="s">
        <v>275</v>
      </c>
      <c r="G4" s="1" t="s">
        <v>276</v>
      </c>
      <c r="H4" s="1" t="s">
        <v>277</v>
      </c>
      <c r="I4" s="1" t="s">
        <v>278</v>
      </c>
      <c r="J4" s="1" t="s">
        <v>238</v>
      </c>
      <c r="K4" s="1" t="s">
        <v>279</v>
      </c>
      <c r="L4" s="1" t="s">
        <v>280</v>
      </c>
      <c r="M4" s="6"/>
    </row>
    <row r="5" spans="2:13" ht="13.5">
      <c r="B5">
        <v>1</v>
      </c>
      <c r="C5" s="6" t="s">
        <v>281</v>
      </c>
      <c r="E5" s="6" t="s">
        <v>282</v>
      </c>
      <c r="F5" s="6" t="s">
        <v>283</v>
      </c>
      <c r="G5" s="6" t="s">
        <v>284</v>
      </c>
      <c r="H5" s="6" t="s">
        <v>285</v>
      </c>
      <c r="I5" s="6" t="s">
        <v>286</v>
      </c>
      <c r="J5" s="10" t="s">
        <v>287</v>
      </c>
      <c r="L5" s="10"/>
      <c r="M5" s="6"/>
    </row>
    <row r="6" spans="2:13" ht="13.5">
      <c r="B6">
        <v>2</v>
      </c>
      <c r="C6" s="6" t="s">
        <v>288</v>
      </c>
      <c r="E6" s="6" t="s">
        <v>289</v>
      </c>
      <c r="F6" s="6" t="s">
        <v>290</v>
      </c>
      <c r="G6" s="6" t="s">
        <v>291</v>
      </c>
      <c r="H6" s="6" t="s">
        <v>285</v>
      </c>
      <c r="I6" s="6" t="s">
        <v>286</v>
      </c>
      <c r="J6" s="10" t="s">
        <v>292</v>
      </c>
      <c r="L6" s="10"/>
      <c r="M6" s="6"/>
    </row>
    <row r="7" spans="2:13" ht="13.5">
      <c r="B7">
        <v>3</v>
      </c>
      <c r="C7" s="6" t="s">
        <v>293</v>
      </c>
      <c r="E7" s="6" t="s">
        <v>294</v>
      </c>
      <c r="F7" s="6" t="s">
        <v>295</v>
      </c>
      <c r="G7" s="6" t="s">
        <v>296</v>
      </c>
      <c r="H7" s="6" t="s">
        <v>297</v>
      </c>
      <c r="I7" s="6" t="s">
        <v>286</v>
      </c>
      <c r="J7" s="10" t="s">
        <v>298</v>
      </c>
      <c r="L7" s="10"/>
      <c r="M7" s="6"/>
    </row>
    <row r="8" spans="2:13" ht="13.5">
      <c r="B8">
        <v>4</v>
      </c>
      <c r="C8" s="6" t="s">
        <v>299</v>
      </c>
      <c r="E8" s="6" t="s">
        <v>300</v>
      </c>
      <c r="F8" s="6" t="s">
        <v>301</v>
      </c>
      <c r="G8" s="6" t="s">
        <v>302</v>
      </c>
      <c r="H8" s="6" t="s">
        <v>303</v>
      </c>
      <c r="I8" s="6" t="s">
        <v>286</v>
      </c>
      <c r="J8" s="10" t="s">
        <v>304</v>
      </c>
      <c r="L8" s="10"/>
      <c r="M8" s="6"/>
    </row>
    <row r="9" spans="2:13" ht="13.5">
      <c r="B9">
        <v>5</v>
      </c>
      <c r="C9" s="6" t="s">
        <v>305</v>
      </c>
      <c r="E9" s="6" t="s">
        <v>306</v>
      </c>
      <c r="F9" s="6" t="s">
        <v>307</v>
      </c>
      <c r="G9" s="6" t="s">
        <v>308</v>
      </c>
      <c r="H9" s="6" t="s">
        <v>309</v>
      </c>
      <c r="I9" s="6" t="s">
        <v>286</v>
      </c>
      <c r="J9" s="10" t="s">
        <v>310</v>
      </c>
      <c r="L9" s="10"/>
      <c r="M9" s="6"/>
    </row>
    <row r="10" spans="2:13" ht="13.5">
      <c r="B10">
        <v>6</v>
      </c>
      <c r="C10" s="6" t="s">
        <v>311</v>
      </c>
      <c r="E10" s="6" t="s">
        <v>312</v>
      </c>
      <c r="F10" s="6" t="s">
        <v>313</v>
      </c>
      <c r="G10" s="6" t="s">
        <v>314</v>
      </c>
      <c r="H10" s="6" t="s">
        <v>309</v>
      </c>
      <c r="I10" s="6" t="s">
        <v>286</v>
      </c>
      <c r="J10" s="10" t="s">
        <v>315</v>
      </c>
      <c r="L10" s="10"/>
      <c r="M10" s="6"/>
    </row>
    <row r="11" spans="2:13" ht="13.5">
      <c r="B11">
        <v>7</v>
      </c>
      <c r="C11" s="6" t="s">
        <v>316</v>
      </c>
      <c r="E11" s="6" t="s">
        <v>317</v>
      </c>
      <c r="F11" s="6" t="s">
        <v>318</v>
      </c>
      <c r="G11" s="6" t="s">
        <v>319</v>
      </c>
      <c r="H11" s="6" t="s">
        <v>320</v>
      </c>
      <c r="I11" s="6" t="s">
        <v>286</v>
      </c>
      <c r="J11" s="10" t="s">
        <v>321</v>
      </c>
      <c r="L11" s="10"/>
      <c r="M11" s="6"/>
    </row>
    <row r="12" spans="2:13" ht="13.5">
      <c r="B12">
        <v>8</v>
      </c>
      <c r="C12" s="6" t="s">
        <v>322</v>
      </c>
      <c r="E12" s="6" t="s">
        <v>323</v>
      </c>
      <c r="F12" s="6" t="s">
        <v>324</v>
      </c>
      <c r="G12" s="6" t="s">
        <v>325</v>
      </c>
      <c r="H12" s="6" t="s">
        <v>320</v>
      </c>
      <c r="I12" s="6" t="s">
        <v>286</v>
      </c>
      <c r="J12" s="10" t="s">
        <v>326</v>
      </c>
      <c r="L12" s="10"/>
      <c r="M12" s="6"/>
    </row>
    <row r="13" spans="2:13" ht="13.5">
      <c r="B13">
        <v>9</v>
      </c>
      <c r="C13" s="6" t="s">
        <v>327</v>
      </c>
      <c r="E13" s="6" t="s">
        <v>328</v>
      </c>
      <c r="F13" s="6" t="s">
        <v>329</v>
      </c>
      <c r="G13" s="6" t="s">
        <v>330</v>
      </c>
      <c r="H13" s="6" t="s">
        <v>320</v>
      </c>
      <c r="I13" s="6" t="s">
        <v>286</v>
      </c>
      <c r="J13" s="10" t="s">
        <v>331</v>
      </c>
      <c r="L13" s="10"/>
      <c r="M13" s="6"/>
    </row>
    <row r="14" spans="2:13" ht="13.5">
      <c r="B14">
        <v>10</v>
      </c>
      <c r="C14" s="6" t="s">
        <v>332</v>
      </c>
      <c r="E14" s="6" t="s">
        <v>333</v>
      </c>
      <c r="F14" s="6" t="s">
        <v>334</v>
      </c>
      <c r="G14" s="6" t="s">
        <v>335</v>
      </c>
      <c r="H14" s="6" t="s">
        <v>320</v>
      </c>
      <c r="I14" s="6" t="s">
        <v>286</v>
      </c>
      <c r="J14" s="10" t="s">
        <v>336</v>
      </c>
      <c r="L14" s="10"/>
      <c r="M14" s="6"/>
    </row>
    <row r="15" spans="2:13" ht="13.5">
      <c r="B15">
        <v>11</v>
      </c>
      <c r="C15" s="6" t="s">
        <v>337</v>
      </c>
      <c r="E15" s="6" t="s">
        <v>338</v>
      </c>
      <c r="F15" s="6" t="s">
        <v>339</v>
      </c>
      <c r="G15" s="6" t="s">
        <v>340</v>
      </c>
      <c r="H15" s="6" t="s">
        <v>320</v>
      </c>
      <c r="I15" s="6" t="s">
        <v>286</v>
      </c>
      <c r="J15" s="10" t="s">
        <v>341</v>
      </c>
      <c r="L15" s="10"/>
      <c r="M15" s="6"/>
    </row>
    <row r="16" spans="2:13" ht="13.5">
      <c r="B16">
        <v>12</v>
      </c>
      <c r="C16" s="6" t="s">
        <v>342</v>
      </c>
      <c r="E16" s="6" t="s">
        <v>343</v>
      </c>
      <c r="F16" s="6" t="s">
        <v>344</v>
      </c>
      <c r="G16" s="6" t="s">
        <v>345</v>
      </c>
      <c r="H16" s="6" t="s">
        <v>320</v>
      </c>
      <c r="I16" s="6" t="s">
        <v>286</v>
      </c>
      <c r="J16" s="10" t="s">
        <v>346</v>
      </c>
      <c r="L16" s="10"/>
      <c r="M16" s="6"/>
    </row>
    <row r="17" spans="2:13" ht="13.5">
      <c r="B17">
        <v>13</v>
      </c>
      <c r="C17" s="6" t="s">
        <v>347</v>
      </c>
      <c r="E17" s="6" t="s">
        <v>348</v>
      </c>
      <c r="F17" s="6" t="s">
        <v>349</v>
      </c>
      <c r="G17" s="6" t="s">
        <v>350</v>
      </c>
      <c r="H17" s="6" t="s">
        <v>320</v>
      </c>
      <c r="I17" s="6" t="s">
        <v>286</v>
      </c>
      <c r="J17" s="10" t="s">
        <v>351</v>
      </c>
      <c r="L17" s="10"/>
      <c r="M17" s="6"/>
    </row>
    <row r="18" spans="2:13" ht="13.5">
      <c r="B18">
        <v>14</v>
      </c>
      <c r="C18" s="6" t="s">
        <v>352</v>
      </c>
      <c r="E18" s="6" t="s">
        <v>353</v>
      </c>
      <c r="F18" s="6" t="s">
        <v>354</v>
      </c>
      <c r="G18" s="6" t="s">
        <v>355</v>
      </c>
      <c r="H18" s="6" t="s">
        <v>320</v>
      </c>
      <c r="I18" s="6" t="s">
        <v>286</v>
      </c>
      <c r="J18" s="10" t="s">
        <v>356</v>
      </c>
      <c r="L18" s="10"/>
      <c r="M18" s="6"/>
    </row>
    <row r="19" spans="2:13" ht="13.5">
      <c r="B19">
        <v>15</v>
      </c>
      <c r="C19" s="6" t="s">
        <v>357</v>
      </c>
      <c r="E19" s="6" t="s">
        <v>358</v>
      </c>
      <c r="F19" s="6" t="s">
        <v>359</v>
      </c>
      <c r="G19" s="6" t="s">
        <v>360</v>
      </c>
      <c r="H19" s="6" t="s">
        <v>320</v>
      </c>
      <c r="I19" s="6" t="s">
        <v>286</v>
      </c>
      <c r="J19" s="10" t="s">
        <v>361</v>
      </c>
      <c r="L19" s="10"/>
      <c r="M19" s="6"/>
    </row>
    <row r="20" spans="2:13" ht="13.5">
      <c r="B20">
        <v>16</v>
      </c>
      <c r="C20" s="6" t="s">
        <v>362</v>
      </c>
      <c r="E20" s="6" t="s">
        <v>363</v>
      </c>
      <c r="F20" s="6" t="s">
        <v>364</v>
      </c>
      <c r="G20" s="6" t="s">
        <v>365</v>
      </c>
      <c r="H20" s="6" t="s">
        <v>320</v>
      </c>
      <c r="I20" s="6" t="s">
        <v>286</v>
      </c>
      <c r="J20" s="10" t="s">
        <v>366</v>
      </c>
      <c r="L20" s="10"/>
      <c r="M20" s="6"/>
    </row>
    <row r="21" spans="2:13" ht="13.5">
      <c r="B21">
        <v>17</v>
      </c>
      <c r="C21" s="6" t="s">
        <v>367</v>
      </c>
      <c r="E21" s="6" t="s">
        <v>368</v>
      </c>
      <c r="F21" s="6" t="s">
        <v>369</v>
      </c>
      <c r="G21" s="6" t="s">
        <v>370</v>
      </c>
      <c r="H21" s="6" t="s">
        <v>320</v>
      </c>
      <c r="I21" s="6" t="s">
        <v>286</v>
      </c>
      <c r="J21" s="10" t="s">
        <v>371</v>
      </c>
      <c r="L21" s="10"/>
      <c r="M21" s="6"/>
    </row>
    <row r="22" spans="2:13" ht="13.5">
      <c r="B22">
        <v>18</v>
      </c>
      <c r="C22" s="6" t="s">
        <v>372</v>
      </c>
      <c r="E22" s="6" t="s">
        <v>373</v>
      </c>
      <c r="F22" s="6" t="s">
        <v>374</v>
      </c>
      <c r="G22" s="6" t="s">
        <v>375</v>
      </c>
      <c r="H22" s="6" t="s">
        <v>320</v>
      </c>
      <c r="I22" s="6" t="s">
        <v>286</v>
      </c>
      <c r="J22" s="10" t="s">
        <v>376</v>
      </c>
      <c r="L22" s="10"/>
      <c r="M22" s="6"/>
    </row>
    <row r="23" spans="2:13" ht="13.5">
      <c r="B23">
        <v>19</v>
      </c>
      <c r="C23" s="6" t="s">
        <v>377</v>
      </c>
      <c r="E23" s="6" t="s">
        <v>378</v>
      </c>
      <c r="F23" s="6" t="s">
        <v>379</v>
      </c>
      <c r="G23" s="6" t="s">
        <v>380</v>
      </c>
      <c r="H23" s="6" t="s">
        <v>320</v>
      </c>
      <c r="I23" s="6" t="s">
        <v>286</v>
      </c>
      <c r="J23" s="10" t="s">
        <v>381</v>
      </c>
      <c r="L23" s="10"/>
      <c r="M23" s="6"/>
    </row>
    <row r="24" spans="2:13" ht="13.5">
      <c r="B24">
        <v>20</v>
      </c>
      <c r="C24" s="6" t="s">
        <v>382</v>
      </c>
      <c r="E24" s="6" t="s">
        <v>383</v>
      </c>
      <c r="F24" s="6" t="s">
        <v>384</v>
      </c>
      <c r="G24" s="6" t="s">
        <v>385</v>
      </c>
      <c r="H24" s="6" t="s">
        <v>386</v>
      </c>
      <c r="I24" s="6" t="s">
        <v>286</v>
      </c>
      <c r="J24" s="10" t="s">
        <v>387</v>
      </c>
      <c r="L24" s="10"/>
      <c r="M24" s="6"/>
    </row>
    <row r="25" spans="2:13" ht="13.5">
      <c r="B25">
        <v>21</v>
      </c>
      <c r="C25" s="6" t="s">
        <v>388</v>
      </c>
      <c r="E25" s="6" t="s">
        <v>389</v>
      </c>
      <c r="F25" s="6" t="s">
        <v>390</v>
      </c>
      <c r="G25" s="6" t="s">
        <v>391</v>
      </c>
      <c r="H25" s="6" t="s">
        <v>392</v>
      </c>
      <c r="I25" s="6" t="s">
        <v>286</v>
      </c>
      <c r="J25" s="10" t="s">
        <v>393</v>
      </c>
      <c r="L25" s="10"/>
      <c r="M25" s="6"/>
    </row>
    <row r="26" spans="2:13" ht="13.5">
      <c r="B26">
        <v>22</v>
      </c>
      <c r="C26" s="6" t="s">
        <v>394</v>
      </c>
      <c r="E26" s="6" t="s">
        <v>395</v>
      </c>
      <c r="F26" s="6" t="s">
        <v>396</v>
      </c>
      <c r="G26" s="6" t="s">
        <v>397</v>
      </c>
      <c r="H26" s="6" t="s">
        <v>398</v>
      </c>
      <c r="I26" s="6" t="s">
        <v>286</v>
      </c>
      <c r="J26" s="10" t="s">
        <v>399</v>
      </c>
      <c r="L26" s="10"/>
      <c r="M26" s="6"/>
    </row>
    <row r="27" spans="2:13" ht="13.5">
      <c r="B27">
        <v>23</v>
      </c>
      <c r="C27" s="6" t="s">
        <v>400</v>
      </c>
      <c r="E27" s="6" t="s">
        <v>401</v>
      </c>
      <c r="F27" s="6" t="s">
        <v>402</v>
      </c>
      <c r="G27" s="6" t="s">
        <v>403</v>
      </c>
      <c r="H27" s="6" t="s">
        <v>404</v>
      </c>
      <c r="I27" s="6" t="s">
        <v>286</v>
      </c>
      <c r="J27" s="10" t="s">
        <v>405</v>
      </c>
      <c r="L27" s="10"/>
      <c r="M27" s="6"/>
    </row>
    <row r="28" spans="2:13" ht="13.5">
      <c r="B28">
        <v>24</v>
      </c>
      <c r="E28" s="6" t="s">
        <v>406</v>
      </c>
      <c r="F28" s="6" t="s">
        <v>407</v>
      </c>
      <c r="G28" s="6" t="s">
        <v>408</v>
      </c>
      <c r="I28" s="6" t="s">
        <v>286</v>
      </c>
      <c r="J28" s="10" t="s">
        <v>409</v>
      </c>
      <c r="L28" s="10"/>
      <c r="M28" s="6"/>
    </row>
    <row r="29" spans="2:13" ht="13.5">
      <c r="B29">
        <v>25</v>
      </c>
      <c r="E29" s="6" t="s">
        <v>410</v>
      </c>
      <c r="F29" s="6" t="s">
        <v>411</v>
      </c>
      <c r="G29" s="6" t="s">
        <v>412</v>
      </c>
      <c r="I29" s="6" t="s">
        <v>286</v>
      </c>
      <c r="J29" s="10" t="s">
        <v>413</v>
      </c>
      <c r="L29" s="10"/>
      <c r="M29" s="6"/>
    </row>
    <row r="30" spans="2:13" ht="13.5">
      <c r="B30">
        <v>26</v>
      </c>
      <c r="E30" s="6" t="s">
        <v>414</v>
      </c>
      <c r="F30" s="6" t="s">
        <v>415</v>
      </c>
      <c r="G30" s="6" t="s">
        <v>416</v>
      </c>
      <c r="I30" s="6" t="s">
        <v>286</v>
      </c>
      <c r="J30" s="10" t="s">
        <v>417</v>
      </c>
      <c r="L30" s="10"/>
      <c r="M30" s="6"/>
    </row>
    <row r="31" spans="2:13" ht="13.5">
      <c r="B31">
        <v>27</v>
      </c>
      <c r="C31" s="6" t="s">
        <v>418</v>
      </c>
      <c r="D31" s="6" t="s">
        <v>419</v>
      </c>
      <c r="E31" s="6" t="s">
        <v>420</v>
      </c>
      <c r="F31" s="6" t="s">
        <v>421</v>
      </c>
      <c r="G31" s="6" t="s">
        <v>422</v>
      </c>
      <c r="H31" s="6" t="s">
        <v>422</v>
      </c>
      <c r="I31" s="6" t="s">
        <v>423</v>
      </c>
      <c r="J31" s="10" t="s">
        <v>424</v>
      </c>
      <c r="K31" s="6" t="s">
        <v>425</v>
      </c>
      <c r="L31" s="10" t="s">
        <v>426</v>
      </c>
      <c r="M31" s="6"/>
    </row>
    <row r="32" spans="2:13" ht="13.5">
      <c r="B32">
        <v>28</v>
      </c>
      <c r="C32" s="6" t="s">
        <v>427</v>
      </c>
      <c r="D32" s="6" t="s">
        <v>419</v>
      </c>
      <c r="E32" s="6" t="s">
        <v>428</v>
      </c>
      <c r="F32" s="6" t="s">
        <v>429</v>
      </c>
      <c r="G32" s="6" t="s">
        <v>430</v>
      </c>
      <c r="H32" s="6" t="s">
        <v>320</v>
      </c>
      <c r="I32" s="6" t="s">
        <v>286</v>
      </c>
      <c r="J32" s="10" t="s">
        <v>431</v>
      </c>
      <c r="K32" s="6" t="s">
        <v>432</v>
      </c>
      <c r="L32" s="10" t="s">
        <v>433</v>
      </c>
      <c r="M32" s="6"/>
    </row>
    <row r="33" spans="2:13" ht="13.5">
      <c r="B33">
        <v>29</v>
      </c>
      <c r="C33" s="6" t="s">
        <v>434</v>
      </c>
      <c r="D33" s="6" t="s">
        <v>419</v>
      </c>
      <c r="E33" s="6" t="s">
        <v>435</v>
      </c>
      <c r="F33" s="6" t="s">
        <v>436</v>
      </c>
      <c r="G33" s="6" t="s">
        <v>437</v>
      </c>
      <c r="H33" s="6" t="s">
        <v>320</v>
      </c>
      <c r="I33" s="6" t="s">
        <v>286</v>
      </c>
      <c r="J33" s="10" t="s">
        <v>438</v>
      </c>
      <c r="K33" s="6" t="s">
        <v>432</v>
      </c>
      <c r="L33" s="10" t="s">
        <v>433</v>
      </c>
      <c r="M33" s="6"/>
    </row>
    <row r="34" spans="2:13" ht="13.5">
      <c r="B34">
        <v>30</v>
      </c>
      <c r="C34" s="6" t="s">
        <v>439</v>
      </c>
      <c r="D34" s="6" t="s">
        <v>419</v>
      </c>
      <c r="E34" s="6" t="s">
        <v>432</v>
      </c>
      <c r="F34" s="6" t="s">
        <v>440</v>
      </c>
      <c r="G34" s="6" t="s">
        <v>441</v>
      </c>
      <c r="H34" s="6" t="s">
        <v>442</v>
      </c>
      <c r="I34" s="6" t="s">
        <v>286</v>
      </c>
      <c r="J34" s="10" t="s">
        <v>433</v>
      </c>
      <c r="K34" s="6" t="s">
        <v>443</v>
      </c>
      <c r="L34" s="10" t="s">
        <v>444</v>
      </c>
      <c r="M34" s="6"/>
    </row>
    <row r="35" spans="2:13" ht="13.5">
      <c r="B35">
        <v>31</v>
      </c>
      <c r="C35" s="6" t="s">
        <v>445</v>
      </c>
      <c r="D35" s="6" t="s">
        <v>446</v>
      </c>
      <c r="E35" s="6" t="s">
        <v>447</v>
      </c>
      <c r="F35" s="6" t="s">
        <v>448</v>
      </c>
      <c r="G35" s="6" t="s">
        <v>449</v>
      </c>
      <c r="H35" s="6" t="s">
        <v>450</v>
      </c>
      <c r="I35" s="6" t="s">
        <v>286</v>
      </c>
      <c r="J35" s="10" t="s">
        <v>451</v>
      </c>
      <c r="K35" s="6" t="s">
        <v>452</v>
      </c>
      <c r="L35" s="10" t="s">
        <v>453</v>
      </c>
      <c r="M35" s="6"/>
    </row>
    <row r="36" spans="2:13" ht="13.5">
      <c r="B36">
        <v>32</v>
      </c>
      <c r="C36" s="6" t="s">
        <v>454</v>
      </c>
      <c r="D36" s="6" t="s">
        <v>446</v>
      </c>
      <c r="E36" s="6" t="s">
        <v>455</v>
      </c>
      <c r="F36" s="6" t="s">
        <v>456</v>
      </c>
      <c r="G36" s="6" t="s">
        <v>457</v>
      </c>
      <c r="H36" s="6" t="s">
        <v>320</v>
      </c>
      <c r="I36" s="6" t="s">
        <v>286</v>
      </c>
      <c r="J36" s="10" t="s">
        <v>458</v>
      </c>
      <c r="K36" s="6" t="s">
        <v>452</v>
      </c>
      <c r="L36" s="10" t="s">
        <v>453</v>
      </c>
      <c r="M36" s="6"/>
    </row>
    <row r="37" spans="2:13" ht="13.5">
      <c r="B37">
        <v>33</v>
      </c>
      <c r="C37" s="6" t="s">
        <v>459</v>
      </c>
      <c r="D37" s="6" t="s">
        <v>446</v>
      </c>
      <c r="E37" s="6" t="s">
        <v>452</v>
      </c>
      <c r="F37" s="6" t="s">
        <v>460</v>
      </c>
      <c r="G37" s="6" t="s">
        <v>461</v>
      </c>
      <c r="H37" s="6" t="s">
        <v>442</v>
      </c>
      <c r="I37" s="6" t="s">
        <v>286</v>
      </c>
      <c r="J37" s="10" t="s">
        <v>453</v>
      </c>
      <c r="K37" s="6" t="s">
        <v>432</v>
      </c>
      <c r="L37" s="10" t="s">
        <v>433</v>
      </c>
      <c r="M37" s="6"/>
    </row>
    <row r="38" spans="2:13" ht="13.5">
      <c r="B38">
        <v>34</v>
      </c>
      <c r="C38" s="6" t="s">
        <v>462</v>
      </c>
      <c r="D38" s="6" t="s">
        <v>463</v>
      </c>
      <c r="E38" s="6" t="s">
        <v>464</v>
      </c>
      <c r="F38" s="6" t="s">
        <v>465</v>
      </c>
      <c r="G38" s="6" t="s">
        <v>466</v>
      </c>
      <c r="H38" s="6" t="s">
        <v>450</v>
      </c>
      <c r="I38" s="6" t="s">
        <v>286</v>
      </c>
      <c r="J38" s="10" t="s">
        <v>467</v>
      </c>
      <c r="K38" s="6" t="s">
        <v>468</v>
      </c>
      <c r="L38" s="10" t="s">
        <v>469</v>
      </c>
      <c r="M38" s="6"/>
    </row>
    <row r="39" spans="2:13" ht="13.5">
      <c r="B39">
        <v>35</v>
      </c>
      <c r="C39" s="6" t="s">
        <v>470</v>
      </c>
      <c r="D39" s="6" t="s">
        <v>463</v>
      </c>
      <c r="E39" s="6" t="s">
        <v>468</v>
      </c>
      <c r="F39" s="6" t="s">
        <v>471</v>
      </c>
      <c r="G39" s="6" t="s">
        <v>472</v>
      </c>
      <c r="H39" s="6" t="s">
        <v>473</v>
      </c>
      <c r="I39" s="6" t="s">
        <v>286</v>
      </c>
      <c r="J39" s="10" t="s">
        <v>469</v>
      </c>
      <c r="K39" s="6" t="s">
        <v>432</v>
      </c>
      <c r="L39" s="10" t="s">
        <v>433</v>
      </c>
      <c r="M39" s="6"/>
    </row>
    <row r="40" spans="2:13" ht="13.5">
      <c r="B40">
        <v>36</v>
      </c>
      <c r="C40" s="6" t="s">
        <v>474</v>
      </c>
      <c r="D40" s="6" t="s">
        <v>463</v>
      </c>
      <c r="E40" s="6" t="s">
        <v>475</v>
      </c>
      <c r="F40" s="6" t="s">
        <v>476</v>
      </c>
      <c r="G40" s="6" t="s">
        <v>477</v>
      </c>
      <c r="H40" s="6" t="s">
        <v>309</v>
      </c>
      <c r="I40" s="6" t="s">
        <v>286</v>
      </c>
      <c r="J40" s="10" t="s">
        <v>478</v>
      </c>
      <c r="K40" s="6" t="s">
        <v>468</v>
      </c>
      <c r="L40" s="10" t="s">
        <v>469</v>
      </c>
      <c r="M40" s="6"/>
    </row>
    <row r="41" spans="2:13" ht="13.5">
      <c r="B41">
        <v>37</v>
      </c>
      <c r="C41" s="6" t="s">
        <v>479</v>
      </c>
      <c r="D41" s="6" t="s">
        <v>463</v>
      </c>
      <c r="E41" s="6" t="s">
        <v>480</v>
      </c>
      <c r="F41" s="6" t="s">
        <v>481</v>
      </c>
      <c r="G41" s="6" t="s">
        <v>482</v>
      </c>
      <c r="H41" s="6" t="s">
        <v>309</v>
      </c>
      <c r="I41" s="6" t="s">
        <v>286</v>
      </c>
      <c r="J41" s="10" t="s">
        <v>483</v>
      </c>
      <c r="K41" s="6" t="s">
        <v>468</v>
      </c>
      <c r="L41" s="10" t="s">
        <v>469</v>
      </c>
      <c r="M41" s="6"/>
    </row>
    <row r="42" spans="2:13" ht="13.5">
      <c r="B42">
        <v>38</v>
      </c>
      <c r="C42" s="6" t="s">
        <v>484</v>
      </c>
      <c r="D42" s="6" t="s">
        <v>485</v>
      </c>
      <c r="E42" s="6" t="s">
        <v>486</v>
      </c>
      <c r="F42" s="6" t="s">
        <v>487</v>
      </c>
      <c r="G42" s="6" t="s">
        <v>488</v>
      </c>
      <c r="H42" s="6" t="s">
        <v>450</v>
      </c>
      <c r="I42" s="6" t="s">
        <v>286</v>
      </c>
      <c r="J42" s="10" t="s">
        <v>489</v>
      </c>
      <c r="K42" s="6" t="s">
        <v>425</v>
      </c>
      <c r="L42" s="10" t="s">
        <v>426</v>
      </c>
      <c r="M42" s="6"/>
    </row>
    <row r="43" spans="2:13" ht="13.5">
      <c r="B43">
        <v>39</v>
      </c>
      <c r="C43" s="6" t="s">
        <v>490</v>
      </c>
      <c r="D43" s="6" t="s">
        <v>485</v>
      </c>
      <c r="E43" s="6" t="s">
        <v>425</v>
      </c>
      <c r="F43" s="6" t="s">
        <v>491</v>
      </c>
      <c r="G43" s="6" t="s">
        <v>492</v>
      </c>
      <c r="H43" s="6" t="s">
        <v>473</v>
      </c>
      <c r="I43" s="6" t="s">
        <v>286</v>
      </c>
      <c r="J43" s="10" t="s">
        <v>426</v>
      </c>
      <c r="K43" s="6" t="s">
        <v>432</v>
      </c>
      <c r="L43" s="10" t="s">
        <v>433</v>
      </c>
      <c r="M43" s="6"/>
    </row>
    <row r="44" spans="2:13" ht="13.5">
      <c r="B44">
        <v>40</v>
      </c>
      <c r="C44" s="6" t="s">
        <v>493</v>
      </c>
      <c r="D44" s="6" t="s">
        <v>485</v>
      </c>
      <c r="E44" s="6" t="s">
        <v>494</v>
      </c>
      <c r="F44" s="6" t="s">
        <v>495</v>
      </c>
      <c r="G44" s="6" t="s">
        <v>496</v>
      </c>
      <c r="H44" s="6" t="s">
        <v>320</v>
      </c>
      <c r="I44" s="6" t="s">
        <v>286</v>
      </c>
      <c r="J44" s="10" t="s">
        <v>497</v>
      </c>
      <c r="K44" s="6" t="s">
        <v>425</v>
      </c>
      <c r="L44" s="10" t="s">
        <v>426</v>
      </c>
      <c r="M44" s="6"/>
    </row>
    <row r="45" spans="2:13" ht="13.5">
      <c r="B45">
        <v>41</v>
      </c>
      <c r="C45" s="6" t="s">
        <v>498</v>
      </c>
      <c r="D45" s="6" t="s">
        <v>485</v>
      </c>
      <c r="E45" s="6" t="s">
        <v>499</v>
      </c>
      <c r="F45" s="6" t="s">
        <v>500</v>
      </c>
      <c r="G45" s="6" t="s">
        <v>501</v>
      </c>
      <c r="H45" s="6" t="s">
        <v>320</v>
      </c>
      <c r="I45" s="6" t="s">
        <v>286</v>
      </c>
      <c r="J45" s="10" t="s">
        <v>502</v>
      </c>
      <c r="K45" s="6" t="s">
        <v>425</v>
      </c>
      <c r="L45" s="10" t="s">
        <v>426</v>
      </c>
      <c r="M45" s="6"/>
    </row>
    <row r="46" spans="2:13" ht="13.5">
      <c r="B46">
        <v>42</v>
      </c>
      <c r="C46" s="6" t="s">
        <v>503</v>
      </c>
      <c r="D46" s="6" t="s">
        <v>485</v>
      </c>
      <c r="E46" s="6" t="s">
        <v>504</v>
      </c>
      <c r="F46" s="6" t="s">
        <v>505</v>
      </c>
      <c r="G46" s="6" t="s">
        <v>506</v>
      </c>
      <c r="H46" s="6" t="s">
        <v>320</v>
      </c>
      <c r="I46" s="6" t="s">
        <v>286</v>
      </c>
      <c r="J46" s="10" t="s">
        <v>507</v>
      </c>
      <c r="K46" s="6" t="s">
        <v>425</v>
      </c>
      <c r="L46" s="10" t="s">
        <v>426</v>
      </c>
      <c r="M46" s="6"/>
    </row>
    <row r="47" spans="2:13" ht="13.5">
      <c r="B47">
        <v>43</v>
      </c>
      <c r="C47" s="6" t="s">
        <v>508</v>
      </c>
      <c r="D47" s="6" t="s">
        <v>485</v>
      </c>
      <c r="E47" s="6" t="s">
        <v>509</v>
      </c>
      <c r="F47" s="6" t="s">
        <v>510</v>
      </c>
      <c r="G47" s="6" t="s">
        <v>511</v>
      </c>
      <c r="H47" s="6" t="s">
        <v>320</v>
      </c>
      <c r="I47" s="6" t="s">
        <v>286</v>
      </c>
      <c r="J47" s="10" t="s">
        <v>512</v>
      </c>
      <c r="K47" s="6" t="s">
        <v>425</v>
      </c>
      <c r="L47" s="10" t="s">
        <v>426</v>
      </c>
      <c r="M47" s="6"/>
    </row>
    <row r="48" spans="2:13" ht="13.5">
      <c r="B48">
        <v>44</v>
      </c>
      <c r="C48" s="6" t="s">
        <v>513</v>
      </c>
      <c r="D48" s="6" t="s">
        <v>485</v>
      </c>
      <c r="E48" s="6" t="s">
        <v>514</v>
      </c>
      <c r="F48" s="6" t="s">
        <v>515</v>
      </c>
      <c r="G48" s="6" t="s">
        <v>516</v>
      </c>
      <c r="H48" s="6" t="s">
        <v>320</v>
      </c>
      <c r="I48" s="6" t="s">
        <v>286</v>
      </c>
      <c r="J48" s="10" t="s">
        <v>517</v>
      </c>
      <c r="K48" s="6" t="s">
        <v>425</v>
      </c>
      <c r="L48" s="10" t="s">
        <v>426</v>
      </c>
      <c r="M48" s="6"/>
    </row>
    <row r="49" spans="2:13" ht="13.5">
      <c r="B49">
        <v>45</v>
      </c>
      <c r="C49" s="6" t="s">
        <v>518</v>
      </c>
      <c r="D49" s="6" t="s">
        <v>485</v>
      </c>
      <c r="E49" s="6" t="s">
        <v>519</v>
      </c>
      <c r="F49" s="6" t="s">
        <v>520</v>
      </c>
      <c r="G49" s="6" t="s">
        <v>521</v>
      </c>
      <c r="H49" s="6" t="s">
        <v>320</v>
      </c>
      <c r="I49" s="6" t="s">
        <v>286</v>
      </c>
      <c r="J49" s="10" t="s">
        <v>522</v>
      </c>
      <c r="K49" s="6" t="s">
        <v>425</v>
      </c>
      <c r="L49" s="10" t="s">
        <v>426</v>
      </c>
      <c r="M49" s="6"/>
    </row>
    <row r="50" spans="2:13" ht="13.5">
      <c r="B50">
        <v>46</v>
      </c>
      <c r="C50" s="6" t="s">
        <v>523</v>
      </c>
      <c r="D50" s="6" t="s">
        <v>485</v>
      </c>
      <c r="E50" s="6" t="s">
        <v>524</v>
      </c>
      <c r="F50" s="6" t="s">
        <v>525</v>
      </c>
      <c r="G50" s="6" t="s">
        <v>526</v>
      </c>
      <c r="H50" s="6" t="s">
        <v>320</v>
      </c>
      <c r="I50" s="6" t="s">
        <v>286</v>
      </c>
      <c r="J50" s="10" t="s">
        <v>527</v>
      </c>
      <c r="K50" s="6" t="s">
        <v>425</v>
      </c>
      <c r="L50" s="10" t="s">
        <v>426</v>
      </c>
      <c r="M50" s="6"/>
    </row>
    <row r="51" spans="2:13" ht="13.5">
      <c r="B51">
        <v>47</v>
      </c>
      <c r="C51" s="6" t="s">
        <v>528</v>
      </c>
      <c r="D51" s="6" t="s">
        <v>485</v>
      </c>
      <c r="E51" s="6" t="s">
        <v>529</v>
      </c>
      <c r="F51" s="6" t="s">
        <v>530</v>
      </c>
      <c r="G51" s="6" t="s">
        <v>531</v>
      </c>
      <c r="H51" s="6" t="s">
        <v>320</v>
      </c>
      <c r="I51" s="6" t="s">
        <v>286</v>
      </c>
      <c r="J51" s="10" t="s">
        <v>532</v>
      </c>
      <c r="K51" s="6" t="s">
        <v>425</v>
      </c>
      <c r="L51" s="10" t="s">
        <v>426</v>
      </c>
      <c r="M51" s="6"/>
    </row>
    <row r="52" spans="2:13" ht="13.5">
      <c r="B52">
        <v>48</v>
      </c>
      <c r="C52" s="6" t="s">
        <v>533</v>
      </c>
      <c r="D52" s="6" t="s">
        <v>485</v>
      </c>
      <c r="E52" s="6" t="s">
        <v>534</v>
      </c>
      <c r="F52" s="6" t="s">
        <v>535</v>
      </c>
      <c r="G52" s="6" t="s">
        <v>536</v>
      </c>
      <c r="H52" s="6" t="s">
        <v>320</v>
      </c>
      <c r="I52" s="6" t="s">
        <v>286</v>
      </c>
      <c r="J52" s="10" t="s">
        <v>537</v>
      </c>
      <c r="K52" s="6" t="s">
        <v>425</v>
      </c>
      <c r="L52" s="10" t="s">
        <v>426</v>
      </c>
    </row>
    <row r="53" spans="2:13" ht="13.5">
      <c r="B53">
        <v>49</v>
      </c>
      <c r="C53" s="6" t="s">
        <v>538</v>
      </c>
      <c r="D53" s="6" t="s">
        <v>485</v>
      </c>
      <c r="E53" s="6" t="s">
        <v>539</v>
      </c>
      <c r="F53" s="6" t="s">
        <v>540</v>
      </c>
      <c r="G53" s="6" t="s">
        <v>541</v>
      </c>
      <c r="H53" s="6" t="s">
        <v>320</v>
      </c>
      <c r="I53" s="6" t="s">
        <v>286</v>
      </c>
      <c r="J53" s="10" t="s">
        <v>542</v>
      </c>
      <c r="K53" s="6" t="s">
        <v>425</v>
      </c>
      <c r="L53" s="10" t="s">
        <v>426</v>
      </c>
    </row>
    <row r="54" spans="2:13" ht="13.5">
      <c r="B54">
        <v>50</v>
      </c>
      <c r="C54" s="6" t="s">
        <v>543</v>
      </c>
      <c r="D54" s="6" t="s">
        <v>485</v>
      </c>
      <c r="E54" s="6" t="s">
        <v>544</v>
      </c>
      <c r="F54" s="6" t="s">
        <v>545</v>
      </c>
      <c r="G54" s="6" t="s">
        <v>546</v>
      </c>
      <c r="H54" s="6" t="s">
        <v>320</v>
      </c>
      <c r="I54" s="6" t="s">
        <v>286</v>
      </c>
      <c r="J54" s="10" t="s">
        <v>547</v>
      </c>
      <c r="K54" s="6" t="s">
        <v>425</v>
      </c>
      <c r="L54" s="10" t="s">
        <v>426</v>
      </c>
    </row>
    <row r="55" spans="2:13" ht="13.5">
      <c r="B55">
        <v>51</v>
      </c>
      <c r="C55" s="6" t="s">
        <v>548</v>
      </c>
      <c r="D55" s="6" t="s">
        <v>549</v>
      </c>
      <c r="E55" s="6" t="s">
        <v>550</v>
      </c>
      <c r="F55" s="6" t="s">
        <v>551</v>
      </c>
      <c r="G55" s="6" t="s">
        <v>552</v>
      </c>
      <c r="H55" s="6" t="s">
        <v>553</v>
      </c>
      <c r="I55" s="6" t="s">
        <v>286</v>
      </c>
      <c r="J55" s="10" t="s">
        <v>554</v>
      </c>
      <c r="K55" s="6" t="s">
        <v>443</v>
      </c>
      <c r="L55" s="10" t="s">
        <v>444</v>
      </c>
    </row>
    <row r="56" spans="2:13" ht="13.5">
      <c r="B56">
        <v>52</v>
      </c>
      <c r="C56" s="6" t="s">
        <v>555</v>
      </c>
      <c r="D56" s="6" t="s">
        <v>549</v>
      </c>
      <c r="E56" s="6" t="s">
        <v>556</v>
      </c>
      <c r="F56" s="6" t="s">
        <v>557</v>
      </c>
      <c r="G56" s="6" t="s">
        <v>558</v>
      </c>
      <c r="H56" s="6" t="s">
        <v>442</v>
      </c>
      <c r="I56" s="6" t="s">
        <v>286</v>
      </c>
      <c r="J56" s="10" t="s">
        <v>559</v>
      </c>
      <c r="K56" s="6" t="s">
        <v>443</v>
      </c>
      <c r="L56" s="10" t="s">
        <v>444</v>
      </c>
    </row>
    <row r="57" spans="2:13" ht="13.5">
      <c r="B57">
        <v>53</v>
      </c>
      <c r="C57" s="6" t="s">
        <v>560</v>
      </c>
      <c r="D57" s="6" t="s">
        <v>549</v>
      </c>
      <c r="E57" s="6" t="s">
        <v>561</v>
      </c>
      <c r="F57" s="6" t="s">
        <v>562</v>
      </c>
      <c r="G57" s="6" t="s">
        <v>563</v>
      </c>
      <c r="H57" s="6" t="s">
        <v>564</v>
      </c>
      <c r="I57" s="6" t="s">
        <v>286</v>
      </c>
      <c r="J57" s="10" t="s">
        <v>565</v>
      </c>
      <c r="K57" s="6" t="s">
        <v>550</v>
      </c>
      <c r="L57" s="10" t="s">
        <v>554</v>
      </c>
    </row>
    <row r="58" spans="2:13" ht="13.5">
      <c r="B58">
        <v>54</v>
      </c>
      <c r="C58" s="6" t="s">
        <v>566</v>
      </c>
      <c r="D58" s="6" t="s">
        <v>567</v>
      </c>
      <c r="E58" s="6" t="s">
        <v>568</v>
      </c>
      <c r="F58" s="6" t="s">
        <v>569</v>
      </c>
      <c r="G58" s="6" t="s">
        <v>570</v>
      </c>
      <c r="H58" s="6" t="s">
        <v>571</v>
      </c>
      <c r="I58" s="6" t="s">
        <v>286</v>
      </c>
      <c r="J58" s="10" t="s">
        <v>572</v>
      </c>
      <c r="K58" s="6" t="s">
        <v>443</v>
      </c>
      <c r="L58" s="10" t="s">
        <v>444</v>
      </c>
    </row>
    <row r="59" spans="2:13" ht="13.5">
      <c r="B59">
        <v>55</v>
      </c>
      <c r="C59" s="6" t="s">
        <v>573</v>
      </c>
      <c r="D59" s="6" t="s">
        <v>574</v>
      </c>
      <c r="E59" s="6" t="s">
        <v>443</v>
      </c>
      <c r="F59" s="6" t="s">
        <v>575</v>
      </c>
      <c r="G59" s="6" t="s">
        <v>576</v>
      </c>
      <c r="H59" s="6" t="s">
        <v>574</v>
      </c>
      <c r="I59" s="6" t="s">
        <v>286</v>
      </c>
      <c r="J59" s="10" t="s">
        <v>444</v>
      </c>
      <c r="K59" s="6" t="s">
        <v>443</v>
      </c>
      <c r="L59" s="10" t="s">
        <v>444</v>
      </c>
    </row>
    <row r="60" spans="2:13" ht="13.5">
      <c r="B60">
        <v>56</v>
      </c>
      <c r="C60" s="6" t="s">
        <v>577</v>
      </c>
      <c r="D60" s="6" t="s">
        <v>578</v>
      </c>
      <c r="E60" s="6" t="s">
        <v>579</v>
      </c>
      <c r="F60" s="6" t="s">
        <v>580</v>
      </c>
      <c r="G60" s="6" t="s">
        <v>581</v>
      </c>
      <c r="H60" s="6" t="s">
        <v>553</v>
      </c>
      <c r="I60" s="6" t="s">
        <v>286</v>
      </c>
      <c r="J60" s="10" t="s">
        <v>582</v>
      </c>
      <c r="K60" s="6" t="s">
        <v>443</v>
      </c>
      <c r="L60" s="10" t="s">
        <v>444</v>
      </c>
    </row>
    <row r="61" spans="2:13" ht="13.5">
      <c r="B61">
        <v>57</v>
      </c>
      <c r="C61" s="6" t="s">
        <v>583</v>
      </c>
      <c r="D61" s="6" t="s">
        <v>578</v>
      </c>
      <c r="E61" s="6" t="s">
        <v>584</v>
      </c>
      <c r="F61" s="6" t="s">
        <v>585</v>
      </c>
      <c r="G61" s="6" t="s">
        <v>586</v>
      </c>
      <c r="H61" s="6" t="s">
        <v>404</v>
      </c>
      <c r="I61" s="6" t="s">
        <v>286</v>
      </c>
      <c r="J61" s="10" t="s">
        <v>587</v>
      </c>
      <c r="K61" s="6" t="s">
        <v>579</v>
      </c>
      <c r="L61" s="10" t="s">
        <v>582</v>
      </c>
    </row>
    <row r="62" spans="2:13" ht="13.5">
      <c r="B62">
        <v>58</v>
      </c>
      <c r="C62" s="6" t="s">
        <v>588</v>
      </c>
      <c r="D62" s="6" t="s">
        <v>578</v>
      </c>
      <c r="E62" s="6" t="s">
        <v>589</v>
      </c>
      <c r="F62" s="6" t="s">
        <v>590</v>
      </c>
      <c r="G62" s="6" t="s">
        <v>591</v>
      </c>
      <c r="H62" s="6" t="s">
        <v>564</v>
      </c>
      <c r="I62" s="6" t="s">
        <v>286</v>
      </c>
      <c r="J62" s="10" t="s">
        <v>592</v>
      </c>
      <c r="K62" s="6" t="s">
        <v>579</v>
      </c>
      <c r="L62" s="10" t="s">
        <v>582</v>
      </c>
    </row>
    <row r="63" spans="2:13" ht="13.5">
      <c r="B63">
        <v>59</v>
      </c>
      <c r="C63" s="6" t="s">
        <v>593</v>
      </c>
      <c r="D63" s="6" t="s">
        <v>594</v>
      </c>
      <c r="E63" s="6" t="s">
        <v>595</v>
      </c>
      <c r="F63" s="6" t="s">
        <v>596</v>
      </c>
      <c r="G63" s="6" t="s">
        <v>597</v>
      </c>
      <c r="H63" s="6" t="s">
        <v>598</v>
      </c>
      <c r="I63" s="6" t="s">
        <v>286</v>
      </c>
      <c r="J63" s="10" t="s">
        <v>599</v>
      </c>
      <c r="K63" s="6" t="s">
        <v>600</v>
      </c>
      <c r="L63" s="10" t="s">
        <v>601</v>
      </c>
    </row>
    <row r="64" spans="2:13" ht="13.5">
      <c r="B64">
        <v>60</v>
      </c>
      <c r="C64" s="6" t="s">
        <v>602</v>
      </c>
      <c r="D64" s="6" t="s">
        <v>594</v>
      </c>
      <c r="E64" s="6" t="s">
        <v>600</v>
      </c>
      <c r="F64" s="6" t="s">
        <v>603</v>
      </c>
      <c r="G64" s="6" t="s">
        <v>604</v>
      </c>
      <c r="H64" s="6" t="s">
        <v>442</v>
      </c>
      <c r="I64" s="6" t="s">
        <v>286</v>
      </c>
      <c r="J64" s="10" t="s">
        <v>601</v>
      </c>
      <c r="K64" s="6" t="s">
        <v>443</v>
      </c>
      <c r="L64" s="10" t="s">
        <v>444</v>
      </c>
    </row>
    <row r="65" spans="2:12" ht="13.5">
      <c r="B65">
        <v>61</v>
      </c>
      <c r="C65" s="6" t="s">
        <v>605</v>
      </c>
      <c r="D65" s="6" t="s">
        <v>594</v>
      </c>
      <c r="E65" s="6" t="s">
        <v>606</v>
      </c>
      <c r="F65" s="6" t="s">
        <v>607</v>
      </c>
      <c r="G65" s="6" t="s">
        <v>608</v>
      </c>
      <c r="H65" s="6" t="s">
        <v>398</v>
      </c>
      <c r="I65" s="6" t="s">
        <v>286</v>
      </c>
      <c r="J65" s="10" t="s">
        <v>609</v>
      </c>
      <c r="K65" s="6" t="s">
        <v>600</v>
      </c>
      <c r="L65" s="10" t="s">
        <v>601</v>
      </c>
    </row>
    <row r="66" spans="2:12" ht="13.5">
      <c r="B66">
        <v>62</v>
      </c>
      <c r="C66" s="6" t="s">
        <v>610</v>
      </c>
      <c r="D66" s="6" t="s">
        <v>611</v>
      </c>
      <c r="E66" s="6" t="s">
        <v>612</v>
      </c>
      <c r="F66" s="6" t="s">
        <v>613</v>
      </c>
      <c r="G66" s="6" t="s">
        <v>614</v>
      </c>
      <c r="H66" s="6" t="s">
        <v>571</v>
      </c>
      <c r="I66" s="6" t="s">
        <v>286</v>
      </c>
      <c r="J66" s="10" t="s">
        <v>615</v>
      </c>
      <c r="K66" s="6" t="s">
        <v>443</v>
      </c>
      <c r="L66" s="10" t="s">
        <v>444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1CE9-19FE-48DB-ACE1-D448B0BB12FD}">
  <sheetPr codeName="Sheet4"/>
  <dimension ref="B1:P15"/>
  <sheetViews>
    <sheetView showGridLines="0" workbookViewId="0">
      <selection activeCell="B1" sqref="B1"/>
    </sheetView>
  </sheetViews>
  <sheetFormatPr defaultColWidth="8.85546875" defaultRowHeight="17.100000000000001" customHeight="1"/>
  <cols>
    <col min="1" max="1" width="1.7109375" style="5" customWidth="1"/>
    <col min="2" max="2" width="16.5703125" style="7" bestFit="1" customWidth="1"/>
    <col min="3" max="3" width="25" style="7" bestFit="1" customWidth="1"/>
    <col min="4" max="7" width="20.85546875" style="7" bestFit="1" customWidth="1"/>
    <col min="8" max="9" width="11.85546875" style="5" bestFit="1" customWidth="1"/>
    <col min="10" max="11" width="16.5703125" style="5" bestFit="1" customWidth="1"/>
    <col min="12" max="13" width="10" style="5" bestFit="1" customWidth="1"/>
    <col min="14" max="14" width="28" style="5" bestFit="1" customWidth="1"/>
    <col min="15" max="15" width="13.7109375" style="5" bestFit="1" customWidth="1"/>
    <col min="16" max="16" width="28.5703125" style="5" bestFit="1" customWidth="1"/>
    <col min="17" max="16384" width="8.85546875" style="5"/>
  </cols>
  <sheetData>
    <row r="1" spans="2:16" customFormat="1" ht="9.9499999999999993" customHeight="1">
      <c r="B1" s="6"/>
      <c r="C1" s="6"/>
      <c r="D1" s="6"/>
      <c r="E1" s="6"/>
      <c r="F1" s="6"/>
      <c r="G1" s="6"/>
    </row>
    <row r="2" spans="2:16" customFormat="1" ht="25.15" customHeight="1">
      <c r="B2" s="167" t="s">
        <v>616</v>
      </c>
      <c r="C2" s="167"/>
      <c r="D2" s="167"/>
      <c r="E2" s="167"/>
      <c r="F2" s="167"/>
      <c r="G2" s="6"/>
    </row>
    <row r="3" spans="2:16" customFormat="1" ht="17.100000000000001" customHeight="1">
      <c r="B3" s="6"/>
      <c r="C3" s="6"/>
      <c r="D3" s="6"/>
      <c r="E3" s="6"/>
      <c r="F3" s="6"/>
      <c r="G3" s="6"/>
    </row>
    <row r="4" spans="2:16" s="6" customFormat="1" ht="17.100000000000001" customHeight="1">
      <c r="B4" s="1" t="s">
        <v>617</v>
      </c>
      <c r="C4" s="1" t="s">
        <v>618</v>
      </c>
      <c r="D4" s="1" t="s">
        <v>619</v>
      </c>
      <c r="E4" s="1" t="s">
        <v>620</v>
      </c>
      <c r="F4" s="1" t="s">
        <v>621</v>
      </c>
      <c r="G4" s="1" t="s">
        <v>622</v>
      </c>
      <c r="H4" s="1" t="s">
        <v>274</v>
      </c>
      <c r="I4" s="1" t="s">
        <v>236</v>
      </c>
      <c r="J4" s="1" t="s">
        <v>275</v>
      </c>
      <c r="K4" s="1" t="s">
        <v>276</v>
      </c>
      <c r="L4" s="1" t="s">
        <v>277</v>
      </c>
      <c r="M4" s="1" t="s">
        <v>278</v>
      </c>
      <c r="N4" s="1" t="s">
        <v>238</v>
      </c>
      <c r="O4" s="1" t="s">
        <v>279</v>
      </c>
      <c r="P4" s="1" t="s">
        <v>280</v>
      </c>
    </row>
    <row r="5" spans="2:16" ht="17.100000000000001" customHeight="1">
      <c r="B5" s="7" t="s">
        <v>623</v>
      </c>
      <c r="C5" s="7" t="s">
        <v>624</v>
      </c>
      <c r="D5" s="7" t="s">
        <v>625</v>
      </c>
      <c r="E5" s="7" t="s">
        <v>626</v>
      </c>
      <c r="F5" s="7" t="s">
        <v>226</v>
      </c>
      <c r="G5" s="8" t="s">
        <v>627</v>
      </c>
      <c r="H5" s="13" t="str">
        <f>IFERROR(VLOOKUP(Table_OurTFT[[#This Row],[개발자_성명]],Table_전체직원목록[[성명직급]:[상위관리자_메일주소]],2,0),"")</f>
        <v/>
      </c>
      <c r="I5" s="13" t="str">
        <f>IFERROR(VLOOKUP(Table_OurTFT[[#This Row],[개발자_성명]],Table_전체직원목록[[성명직급]:[상위관리자_메일주소]],3,0),"")</f>
        <v/>
      </c>
      <c r="J5" s="13" t="str">
        <f>IFERROR(VLOOKUP(Table_OurTFT[[#This Row],[개발자_성명]],Table_전체직원목록[[성명직급]:[상위관리자_메일주소]],4,0),"")</f>
        <v/>
      </c>
      <c r="K5" s="13" t="str">
        <f>IFERROR(VLOOKUP(Table_OurTFT[[#This Row],[개발자_성명]],Table_전체직원목록[[성명직급]:[상위관리자_메일주소]],5,0),"")</f>
        <v/>
      </c>
      <c r="L5" s="13" t="str">
        <f>IFERROR(VLOOKUP(Table_OurTFT[[#This Row],[개발자_성명]],Table_전체직원목록[[성명직급]:[상위관리자_메일주소]],6,0),"")</f>
        <v/>
      </c>
      <c r="M5" s="13" t="str">
        <f>IFERROR(VLOOKUP(Table_OurTFT[[#This Row],[개발자_성명]],Table_전체직원목록[[성명직급]:[상위관리자_메일주소]],7,0),"")</f>
        <v/>
      </c>
      <c r="N5" s="13" t="str">
        <f>IFERROR(VLOOKUP(Table_OurTFT[[#This Row],[개발자_성명]],Table_전체직원목록[[성명직급]:[상위관리자_메일주소]],8,0),"")</f>
        <v/>
      </c>
      <c r="O5" s="13" t="str">
        <f>IFERROR(VLOOKUP(Table_OurTFT[[#This Row],[개발자_성명]],Table_전체직원목록[[성명직급]:[상위관리자_메일주소]],9,0),"")</f>
        <v/>
      </c>
      <c r="P5" s="13" t="str">
        <f>IFERROR(VLOOKUP(Table_OurTFT[[#This Row],[개발자_성명]],Table_전체직원목록[[성명직급]:[상위관리자_메일주소]],10,0),"")</f>
        <v/>
      </c>
    </row>
    <row r="6" spans="2:16" ht="17.100000000000001" customHeight="1">
      <c r="B6" s="8" t="s">
        <v>628</v>
      </c>
      <c r="C6" s="8" t="s">
        <v>629</v>
      </c>
      <c r="D6" s="8" t="s">
        <v>625</v>
      </c>
      <c r="E6" s="8" t="s">
        <v>225</v>
      </c>
      <c r="F6" s="8" t="s">
        <v>226</v>
      </c>
      <c r="G6" s="8" t="s">
        <v>627</v>
      </c>
      <c r="H6" s="13" t="str">
        <f>IFERROR(VLOOKUP(Table_OurTFT[[#This Row],[개발자_성명]],Table_전체직원목록[[성명직급]:[상위관리자_메일주소]],2,0),"")</f>
        <v>Data &amp; AI 팀</v>
      </c>
      <c r="I6" s="13" t="str">
        <f>IFERROR(VLOOKUP(Table_OurTFT[[#This Row],[개발자_성명]],Table_전체직원목록[[성명직급]:[상위관리자_메일주소]],3,0),"")</f>
        <v>Allie (신유지)</v>
      </c>
      <c r="J6" s="13" t="str">
        <f>IFERROR(VLOOKUP(Table_OurTFT[[#This Row],[개발자_성명]],Table_전체직원목록[[성명직급]:[상위관리자_메일주소]],4,0),"")</f>
        <v>Allie</v>
      </c>
      <c r="K6" s="13" t="str">
        <f>IFERROR(VLOOKUP(Table_OurTFT[[#This Row],[개발자_성명]],Table_전체직원목록[[성명직급]:[상위관리자_메일주소]],5,0),"")</f>
        <v>신유지</v>
      </c>
      <c r="L6" s="13" t="str">
        <f>IFERROR(VLOOKUP(Table_OurTFT[[#This Row],[개발자_성명]],Table_전체직원목록[[성명직급]:[상위관리자_메일주소]],6,0),"")</f>
        <v>선임</v>
      </c>
      <c r="M6" s="13" t="str">
        <f>IFERROR(VLOOKUP(Table_OurTFT[[#This Row],[개발자_성명]],Table_전체직원목록[[성명직급]:[상위관리자_메일주소]],7,0),"")</f>
        <v>팀원</v>
      </c>
      <c r="N6" s="13" t="str">
        <f>IFERROR(VLOOKUP(Table_OurTFT[[#This Row],[개발자_성명]],Table_전체직원목록[[성명직급]:[상위관리자_메일주소]],8,0),"")</f>
        <v>Allie.Shin@mcloudbridge.com</v>
      </c>
      <c r="O6" s="13" t="str">
        <f>IFERROR(VLOOKUP(Table_OurTFT[[#This Row],[개발자_성명]],Table_전체직원목록[[성명직급]:[상위관리자_메일주소]],9,0),"")</f>
        <v>Jake (정진우)</v>
      </c>
      <c r="P6" s="13" t="str">
        <f>IFERROR(VLOOKUP(Table_OurTFT[[#This Row],[개발자_성명]],Table_전체직원목록[[성명직급]:[상위관리자_메일주소]],10,0),"")</f>
        <v>Jake.Jeong@mcloudbridge.com</v>
      </c>
    </row>
    <row r="7" spans="2:16" ht="17.100000000000001" customHeight="1">
      <c r="B7" s="8" t="s">
        <v>630</v>
      </c>
      <c r="C7" s="8" t="s">
        <v>631</v>
      </c>
      <c r="D7" s="8" t="s">
        <v>625</v>
      </c>
      <c r="E7" s="8" t="s">
        <v>225</v>
      </c>
      <c r="F7" s="8" t="s">
        <v>226</v>
      </c>
      <c r="G7" s="8" t="s">
        <v>627</v>
      </c>
      <c r="H7" s="13">
        <f>IFERROR(VLOOKUP(Table_OurTFT[[#This Row],[개발자_성명]],Table_전체직원목록[[성명직급]:[상위관리자_메일주소]],2,0),"")</f>
        <v>0</v>
      </c>
      <c r="I7" s="13" t="str">
        <f>IFERROR(VLOOKUP(Table_OurTFT[[#This Row],[개발자_성명]],Table_전체직원목록[[성명직급]:[상위관리자_메일주소]],3,0),"")</f>
        <v>Max (김병준)</v>
      </c>
      <c r="J7" s="13" t="str">
        <f>IFERROR(VLOOKUP(Table_OurTFT[[#This Row],[개발자_성명]],Table_전체직원목록[[성명직급]:[상위관리자_메일주소]],4,0),"")</f>
        <v>Max</v>
      </c>
      <c r="K7" s="13" t="str">
        <f>IFERROR(VLOOKUP(Table_OurTFT[[#This Row],[개발자_성명]],Table_전체직원목록[[성명직급]:[상위관리자_메일주소]],5,0),"")</f>
        <v>김병준</v>
      </c>
      <c r="L7" s="13" t="str">
        <f>IFERROR(VLOOKUP(Table_OurTFT[[#This Row],[개발자_성명]],Table_전체직원목록[[성명직급]:[상위관리자_메일주소]],6,0),"")</f>
        <v>선임</v>
      </c>
      <c r="M7" s="13" t="str">
        <f>IFERROR(VLOOKUP(Table_OurTFT[[#This Row],[개발자_성명]],Table_전체직원목록[[성명직급]:[상위관리자_메일주소]],7,0),"")</f>
        <v>팀원</v>
      </c>
      <c r="N7" s="13" t="str">
        <f>IFERROR(VLOOKUP(Table_OurTFT[[#This Row],[개발자_성명]],Table_전체직원목록[[성명직급]:[상위관리자_메일주소]],8,0),"")</f>
        <v>max.kim@mcloudbridge.com</v>
      </c>
      <c r="O7" s="13">
        <f>IFERROR(VLOOKUP(Table_OurTFT[[#This Row],[개발자_성명]],Table_전체직원목록[[성명직급]:[상위관리자_메일주소]],9,0),"")</f>
        <v>0</v>
      </c>
      <c r="P7" s="13">
        <f>IFERROR(VLOOKUP(Table_OurTFT[[#This Row],[개발자_성명]],Table_전체직원목록[[성명직급]:[상위관리자_메일주소]],10,0),"")</f>
        <v>0</v>
      </c>
    </row>
    <row r="8" spans="2:16" ht="17.100000000000001" customHeight="1">
      <c r="B8" s="6" t="s">
        <v>316</v>
      </c>
      <c r="C8" s="8" t="s">
        <v>631</v>
      </c>
      <c r="D8" s="8" t="s">
        <v>625</v>
      </c>
      <c r="E8" s="8" t="s">
        <v>225</v>
      </c>
      <c r="F8" s="151">
        <v>45136</v>
      </c>
      <c r="G8" s="151">
        <v>45184</v>
      </c>
      <c r="H8" s="13">
        <f>IFERROR(VLOOKUP(Table_OurTFT[[#This Row],[개발자_성명]],Table_전체직원목록[[성명직급]:[상위관리자_메일주소]],2,0),"")</f>
        <v>0</v>
      </c>
      <c r="I8" s="13" t="str">
        <f>IFERROR(VLOOKUP(Table_OurTFT[[#This Row],[개발자_성명]],Table_전체직원목록[[성명직급]:[상위관리자_메일주소]],3,0),"")</f>
        <v>Kathy (장민지)</v>
      </c>
      <c r="J8" s="13" t="str">
        <f>IFERROR(VLOOKUP(Table_OurTFT[[#This Row],[개발자_성명]],Table_전체직원목록[[성명직급]:[상위관리자_메일주소]],4,0),"")</f>
        <v>Kathy</v>
      </c>
      <c r="K8" s="13" t="str">
        <f>IFERROR(VLOOKUP(Table_OurTFT[[#This Row],[개발자_성명]],Table_전체직원목록[[성명직급]:[상위관리자_메일주소]],5,0),"")</f>
        <v>장민지</v>
      </c>
      <c r="L8" s="13" t="str">
        <f>IFERROR(VLOOKUP(Table_OurTFT[[#This Row],[개발자_성명]],Table_전체직원목록[[성명직급]:[상위관리자_메일주소]],6,0),"")</f>
        <v>선임</v>
      </c>
      <c r="M8" s="13" t="str">
        <f>IFERROR(VLOOKUP(Table_OurTFT[[#This Row],[개발자_성명]],Table_전체직원목록[[성명직급]:[상위관리자_메일주소]],7,0),"")</f>
        <v>팀원</v>
      </c>
      <c r="N8" s="13" t="str">
        <f>IFERROR(VLOOKUP(Table_OurTFT[[#This Row],[개발자_성명]],Table_전체직원목록[[성명직급]:[상위관리자_메일주소]],8,0),"")</f>
        <v>kathy.jang@mcloudbridge.com</v>
      </c>
      <c r="O8" s="13">
        <f>IFERROR(VLOOKUP(Table_OurTFT[[#This Row],[개발자_성명]],Table_전체직원목록[[성명직급]:[상위관리자_메일주소]],9,0),"")</f>
        <v>0</v>
      </c>
      <c r="P8" s="13">
        <f>IFERROR(VLOOKUP(Table_OurTFT[[#This Row],[개발자_성명]],Table_전체직원목록[[성명직급]:[상위관리자_메일주소]],10,0),"")</f>
        <v>0</v>
      </c>
    </row>
    <row r="9" spans="2:16" ht="17.100000000000001" customHeight="1">
      <c r="B9" s="8" t="s">
        <v>632</v>
      </c>
      <c r="C9" s="8" t="s">
        <v>631</v>
      </c>
      <c r="D9" s="8" t="s">
        <v>625</v>
      </c>
      <c r="E9" s="8" t="s">
        <v>225</v>
      </c>
      <c r="F9" s="8" t="s">
        <v>633</v>
      </c>
      <c r="G9" s="8" t="s">
        <v>627</v>
      </c>
      <c r="H9" s="13" t="str">
        <f>IFERROR(VLOOKUP(Table_OurTFT[[#This Row],[개발자_성명]],Table_전체직원목록[[성명직급]:[상위관리자_메일주소]],2,0),"")</f>
        <v>Data &amp; AI 팀</v>
      </c>
      <c r="I9" s="13" t="str">
        <f>IFERROR(VLOOKUP(Table_OurTFT[[#This Row],[개발자_성명]],Table_전체직원목록[[성명직급]:[상위관리자_메일주소]],3,0),"")</f>
        <v>Ian (정민정)</v>
      </c>
      <c r="J9" s="13" t="str">
        <f>IFERROR(VLOOKUP(Table_OurTFT[[#This Row],[개발자_성명]],Table_전체직원목록[[성명직급]:[상위관리자_메일주소]],4,0),"")</f>
        <v>Ian</v>
      </c>
      <c r="K9" s="13" t="str">
        <f>IFERROR(VLOOKUP(Table_OurTFT[[#This Row],[개발자_성명]],Table_전체직원목록[[성명직급]:[상위관리자_메일주소]],5,0),"")</f>
        <v>정민정</v>
      </c>
      <c r="L9" s="13" t="str">
        <f>IFERROR(VLOOKUP(Table_OurTFT[[#This Row],[개발자_성명]],Table_전체직원목록[[성명직급]:[상위관리자_메일주소]],6,0),"")</f>
        <v>선임</v>
      </c>
      <c r="M9" s="13" t="str">
        <f>IFERROR(VLOOKUP(Table_OurTFT[[#This Row],[개발자_성명]],Table_전체직원목록[[성명직급]:[상위관리자_메일주소]],7,0),"")</f>
        <v>팀원</v>
      </c>
      <c r="N9" s="13" t="str">
        <f>IFERROR(VLOOKUP(Table_OurTFT[[#This Row],[개발자_성명]],Table_전체직원목록[[성명직급]:[상위관리자_메일주소]],8,0),"")</f>
        <v>ian.jeong@mcloudbridge.com</v>
      </c>
      <c r="O9" s="13" t="str">
        <f>IFERROR(VLOOKUP(Table_OurTFT[[#This Row],[개발자_성명]],Table_전체직원목록[[성명직급]:[상위관리자_메일주소]],9,0),"")</f>
        <v>Jake (정진우)</v>
      </c>
      <c r="P9" s="13" t="str">
        <f>IFERROR(VLOOKUP(Table_OurTFT[[#This Row],[개발자_성명]],Table_전체직원목록[[성명직급]:[상위관리자_메일주소]],10,0),"")</f>
        <v>Jake.Jeong@mcloudbridge.com</v>
      </c>
    </row>
    <row r="10" spans="2:16" ht="17.100000000000001" customHeight="1">
      <c r="B10" s="8" t="s">
        <v>1</v>
      </c>
      <c r="C10" s="8" t="s">
        <v>1</v>
      </c>
      <c r="D10" s="8" t="s">
        <v>1</v>
      </c>
      <c r="E10" s="8" t="s">
        <v>1</v>
      </c>
      <c r="F10" s="8" t="s">
        <v>1</v>
      </c>
      <c r="G10" s="8" t="s">
        <v>1</v>
      </c>
      <c r="H10" s="13" t="str">
        <f>IFERROR(VLOOKUP(Table_OurTFT[[#This Row],[개발자_성명]],Table_전체직원목록[[성명직급]:[상위관리자_메일주소]],2,0),"")</f>
        <v/>
      </c>
      <c r="I10" s="13" t="str">
        <f>IFERROR(VLOOKUP(Table_OurTFT[[#This Row],[개발자_성명]],Table_전체직원목록[[성명직급]:[상위관리자_메일주소]],3,0),"")</f>
        <v/>
      </c>
      <c r="J10" s="13" t="str">
        <f>IFERROR(VLOOKUP(Table_OurTFT[[#This Row],[개발자_성명]],Table_전체직원목록[[성명직급]:[상위관리자_메일주소]],4,0),"")</f>
        <v/>
      </c>
      <c r="K10" s="13" t="str">
        <f>IFERROR(VLOOKUP(Table_OurTFT[[#This Row],[개발자_성명]],Table_전체직원목록[[성명직급]:[상위관리자_메일주소]],5,0),"")</f>
        <v/>
      </c>
      <c r="L10" s="13" t="str">
        <f>IFERROR(VLOOKUP(Table_OurTFT[[#This Row],[개발자_성명]],Table_전체직원목록[[성명직급]:[상위관리자_메일주소]],6,0),"")</f>
        <v/>
      </c>
      <c r="M10" s="13" t="str">
        <f>IFERROR(VLOOKUP(Table_OurTFT[[#This Row],[개발자_성명]],Table_전체직원목록[[성명직급]:[상위관리자_메일주소]],7,0),"")</f>
        <v/>
      </c>
      <c r="N10" s="13" t="str">
        <f>IFERROR(VLOOKUP(Table_OurTFT[[#This Row],[개발자_성명]],Table_전체직원목록[[성명직급]:[상위관리자_메일주소]],8,0),"")</f>
        <v/>
      </c>
      <c r="O10" s="13" t="str">
        <f>IFERROR(VLOOKUP(Table_OurTFT[[#This Row],[개발자_성명]],Table_전체직원목록[[성명직급]:[상위관리자_메일주소]],9,0),"")</f>
        <v/>
      </c>
      <c r="P10" s="13" t="str">
        <f>IFERROR(VLOOKUP(Table_OurTFT[[#This Row],[개발자_성명]],Table_전체직원목록[[성명직급]:[상위관리자_메일주소]],10,0),"")</f>
        <v/>
      </c>
    </row>
    <row r="11" spans="2:16" ht="17.100000000000001" customHeight="1">
      <c r="B11" s="8" t="s">
        <v>1</v>
      </c>
      <c r="C11" s="8" t="s">
        <v>1</v>
      </c>
      <c r="D11" s="8" t="s">
        <v>1</v>
      </c>
      <c r="E11" s="8" t="s">
        <v>1</v>
      </c>
      <c r="F11" s="8" t="s">
        <v>1</v>
      </c>
      <c r="G11" s="8" t="s">
        <v>1</v>
      </c>
      <c r="H11" s="13" t="str">
        <f>IFERROR(VLOOKUP(Table_OurTFT[[#This Row],[개발자_성명]],Table_전체직원목록[[성명직급]:[상위관리자_메일주소]],2,0),"")</f>
        <v/>
      </c>
      <c r="I11" s="13" t="str">
        <f>IFERROR(VLOOKUP(Table_OurTFT[[#This Row],[개발자_성명]],Table_전체직원목록[[성명직급]:[상위관리자_메일주소]],3,0),"")</f>
        <v/>
      </c>
      <c r="J11" s="13" t="str">
        <f>IFERROR(VLOOKUP(Table_OurTFT[[#This Row],[개발자_성명]],Table_전체직원목록[[성명직급]:[상위관리자_메일주소]],4,0),"")</f>
        <v/>
      </c>
      <c r="K11" s="13" t="str">
        <f>IFERROR(VLOOKUP(Table_OurTFT[[#This Row],[개발자_성명]],Table_전체직원목록[[성명직급]:[상위관리자_메일주소]],5,0),"")</f>
        <v/>
      </c>
      <c r="L11" s="13" t="str">
        <f>IFERROR(VLOOKUP(Table_OurTFT[[#This Row],[개발자_성명]],Table_전체직원목록[[성명직급]:[상위관리자_메일주소]],6,0),"")</f>
        <v/>
      </c>
      <c r="M11" s="13" t="str">
        <f>IFERROR(VLOOKUP(Table_OurTFT[[#This Row],[개발자_성명]],Table_전체직원목록[[성명직급]:[상위관리자_메일주소]],7,0),"")</f>
        <v/>
      </c>
      <c r="N11" s="13" t="str">
        <f>IFERROR(VLOOKUP(Table_OurTFT[[#This Row],[개발자_성명]],Table_전체직원목록[[성명직급]:[상위관리자_메일주소]],8,0),"")</f>
        <v/>
      </c>
      <c r="O11" s="13" t="str">
        <f>IFERROR(VLOOKUP(Table_OurTFT[[#This Row],[개발자_성명]],Table_전체직원목록[[성명직급]:[상위관리자_메일주소]],9,0),"")</f>
        <v/>
      </c>
      <c r="P11" s="13" t="str">
        <f>IFERROR(VLOOKUP(Table_OurTFT[[#This Row],[개발자_성명]],Table_전체직원목록[[성명직급]:[상위관리자_메일주소]],10,0),"")</f>
        <v/>
      </c>
    </row>
    <row r="12" spans="2:16" ht="17.100000000000001" customHeight="1">
      <c r="B12" s="8" t="s">
        <v>1</v>
      </c>
      <c r="C12" s="8" t="s">
        <v>1</v>
      </c>
      <c r="D12" s="8" t="s">
        <v>1</v>
      </c>
      <c r="E12" s="8" t="s">
        <v>1</v>
      </c>
      <c r="F12" s="8" t="s">
        <v>1</v>
      </c>
      <c r="G12" s="8" t="s">
        <v>1</v>
      </c>
      <c r="H12" s="13" t="str">
        <f>IFERROR(VLOOKUP(Table_OurTFT[[#This Row],[개발자_성명]],Table_전체직원목록[[성명직급]:[상위관리자_메일주소]],2,0),"")</f>
        <v/>
      </c>
      <c r="I12" s="13" t="str">
        <f>IFERROR(VLOOKUP(Table_OurTFT[[#This Row],[개발자_성명]],Table_전체직원목록[[성명직급]:[상위관리자_메일주소]],3,0),"")</f>
        <v/>
      </c>
      <c r="J12" s="13" t="str">
        <f>IFERROR(VLOOKUP(Table_OurTFT[[#This Row],[개발자_성명]],Table_전체직원목록[[성명직급]:[상위관리자_메일주소]],4,0),"")</f>
        <v/>
      </c>
      <c r="K12" s="13" t="str">
        <f>IFERROR(VLOOKUP(Table_OurTFT[[#This Row],[개발자_성명]],Table_전체직원목록[[성명직급]:[상위관리자_메일주소]],5,0),"")</f>
        <v/>
      </c>
      <c r="L12" s="13" t="str">
        <f>IFERROR(VLOOKUP(Table_OurTFT[[#This Row],[개발자_성명]],Table_전체직원목록[[성명직급]:[상위관리자_메일주소]],6,0),"")</f>
        <v/>
      </c>
      <c r="M12" s="13" t="str">
        <f>IFERROR(VLOOKUP(Table_OurTFT[[#This Row],[개발자_성명]],Table_전체직원목록[[성명직급]:[상위관리자_메일주소]],7,0),"")</f>
        <v/>
      </c>
      <c r="N12" s="13" t="str">
        <f>IFERROR(VLOOKUP(Table_OurTFT[[#This Row],[개발자_성명]],Table_전체직원목록[[성명직급]:[상위관리자_메일주소]],8,0),"")</f>
        <v/>
      </c>
      <c r="O12" s="13" t="str">
        <f>IFERROR(VLOOKUP(Table_OurTFT[[#This Row],[개발자_성명]],Table_전체직원목록[[성명직급]:[상위관리자_메일주소]],9,0),"")</f>
        <v/>
      </c>
      <c r="P12" s="13" t="str">
        <f>IFERROR(VLOOKUP(Table_OurTFT[[#This Row],[개발자_성명]],Table_전체직원목록[[성명직급]:[상위관리자_메일주소]],10,0),"")</f>
        <v/>
      </c>
    </row>
    <row r="13" spans="2:16" ht="17.100000000000001" customHeight="1">
      <c r="B13" s="8" t="s">
        <v>1</v>
      </c>
      <c r="C13" s="8" t="s">
        <v>1</v>
      </c>
      <c r="D13" s="8" t="s">
        <v>1</v>
      </c>
      <c r="E13" s="8" t="s">
        <v>1</v>
      </c>
      <c r="F13" s="8" t="s">
        <v>1</v>
      </c>
      <c r="G13" s="8" t="s">
        <v>1</v>
      </c>
      <c r="H13" s="13" t="str">
        <f>IFERROR(VLOOKUP(Table_OurTFT[[#This Row],[개발자_성명]],Table_전체직원목록[[성명직급]:[상위관리자_메일주소]],2,0),"")</f>
        <v/>
      </c>
      <c r="I13" s="13" t="str">
        <f>IFERROR(VLOOKUP(Table_OurTFT[[#This Row],[개발자_성명]],Table_전체직원목록[[성명직급]:[상위관리자_메일주소]],3,0),"")</f>
        <v/>
      </c>
      <c r="J13" s="13" t="str">
        <f>IFERROR(VLOOKUP(Table_OurTFT[[#This Row],[개발자_성명]],Table_전체직원목록[[성명직급]:[상위관리자_메일주소]],4,0),"")</f>
        <v/>
      </c>
      <c r="K13" s="13" t="str">
        <f>IFERROR(VLOOKUP(Table_OurTFT[[#This Row],[개발자_성명]],Table_전체직원목록[[성명직급]:[상위관리자_메일주소]],5,0),"")</f>
        <v/>
      </c>
      <c r="L13" s="13" t="str">
        <f>IFERROR(VLOOKUP(Table_OurTFT[[#This Row],[개발자_성명]],Table_전체직원목록[[성명직급]:[상위관리자_메일주소]],6,0),"")</f>
        <v/>
      </c>
      <c r="M13" s="13" t="str">
        <f>IFERROR(VLOOKUP(Table_OurTFT[[#This Row],[개발자_성명]],Table_전체직원목록[[성명직급]:[상위관리자_메일주소]],7,0),"")</f>
        <v/>
      </c>
      <c r="N13" s="13" t="str">
        <f>IFERROR(VLOOKUP(Table_OurTFT[[#This Row],[개발자_성명]],Table_전체직원목록[[성명직급]:[상위관리자_메일주소]],8,0),"")</f>
        <v/>
      </c>
      <c r="O13" s="13" t="str">
        <f>IFERROR(VLOOKUP(Table_OurTFT[[#This Row],[개발자_성명]],Table_전체직원목록[[성명직급]:[상위관리자_메일주소]],9,0),"")</f>
        <v/>
      </c>
      <c r="P13" s="13" t="str">
        <f>IFERROR(VLOOKUP(Table_OurTFT[[#This Row],[개발자_성명]],Table_전체직원목록[[성명직급]:[상위관리자_메일주소]],10,0),"")</f>
        <v/>
      </c>
    </row>
    <row r="14" spans="2:16" ht="17.100000000000001" customHeight="1">
      <c r="B14" s="8" t="s">
        <v>1</v>
      </c>
      <c r="C14" s="8" t="s">
        <v>1</v>
      </c>
      <c r="D14" s="8" t="s">
        <v>1</v>
      </c>
      <c r="E14" s="8" t="s">
        <v>1</v>
      </c>
      <c r="F14" s="8" t="s">
        <v>1</v>
      </c>
      <c r="G14" s="8" t="s">
        <v>1</v>
      </c>
      <c r="H14" s="13" t="str">
        <f>IFERROR(VLOOKUP(Table_OurTFT[[#This Row],[개발자_성명]],Table_전체직원목록[[성명직급]:[상위관리자_메일주소]],2,0),"")</f>
        <v/>
      </c>
      <c r="I14" s="13" t="str">
        <f>IFERROR(VLOOKUP(Table_OurTFT[[#This Row],[개발자_성명]],Table_전체직원목록[[성명직급]:[상위관리자_메일주소]],3,0),"")</f>
        <v/>
      </c>
      <c r="J14" s="13" t="str">
        <f>IFERROR(VLOOKUP(Table_OurTFT[[#This Row],[개발자_성명]],Table_전체직원목록[[성명직급]:[상위관리자_메일주소]],4,0),"")</f>
        <v/>
      </c>
      <c r="K14" s="13" t="str">
        <f>IFERROR(VLOOKUP(Table_OurTFT[[#This Row],[개발자_성명]],Table_전체직원목록[[성명직급]:[상위관리자_메일주소]],5,0),"")</f>
        <v/>
      </c>
      <c r="L14" s="13" t="str">
        <f>IFERROR(VLOOKUP(Table_OurTFT[[#This Row],[개발자_성명]],Table_전체직원목록[[성명직급]:[상위관리자_메일주소]],6,0),"")</f>
        <v/>
      </c>
      <c r="M14" s="13" t="str">
        <f>IFERROR(VLOOKUP(Table_OurTFT[[#This Row],[개발자_성명]],Table_전체직원목록[[성명직급]:[상위관리자_메일주소]],7,0),"")</f>
        <v/>
      </c>
      <c r="N14" s="13" t="str">
        <f>IFERROR(VLOOKUP(Table_OurTFT[[#This Row],[개발자_성명]],Table_전체직원목록[[성명직급]:[상위관리자_메일주소]],8,0),"")</f>
        <v/>
      </c>
      <c r="O14" s="13" t="str">
        <f>IFERROR(VLOOKUP(Table_OurTFT[[#This Row],[개발자_성명]],Table_전체직원목록[[성명직급]:[상위관리자_메일주소]],9,0),"")</f>
        <v/>
      </c>
      <c r="P14" s="13" t="str">
        <f>IFERROR(VLOOKUP(Table_OurTFT[[#This Row],[개발자_성명]],Table_전체직원목록[[성명직급]:[상위관리자_메일주소]],10,0),"")</f>
        <v/>
      </c>
    </row>
    <row r="15" spans="2:16" ht="17.100000000000001" customHeight="1">
      <c r="B15" s="8" t="s">
        <v>1</v>
      </c>
      <c r="C15" s="8" t="s">
        <v>1</v>
      </c>
      <c r="D15" s="8" t="s">
        <v>1</v>
      </c>
      <c r="E15" s="8" t="s">
        <v>1</v>
      </c>
      <c r="F15" s="8" t="s">
        <v>1</v>
      </c>
      <c r="G15" s="8" t="s">
        <v>1</v>
      </c>
      <c r="H15" s="13" t="str">
        <f>IFERROR(VLOOKUP(Table_OurTFT[[#This Row],[개발자_성명]],Table_전체직원목록[[성명직급]:[상위관리자_메일주소]],2,0),"")</f>
        <v/>
      </c>
      <c r="I15" s="13" t="str">
        <f>IFERROR(VLOOKUP(Table_OurTFT[[#This Row],[개발자_성명]],Table_전체직원목록[[성명직급]:[상위관리자_메일주소]],3,0),"")</f>
        <v/>
      </c>
      <c r="J15" s="13" t="str">
        <f>IFERROR(VLOOKUP(Table_OurTFT[[#This Row],[개발자_성명]],Table_전체직원목록[[성명직급]:[상위관리자_메일주소]],4,0),"")</f>
        <v/>
      </c>
      <c r="K15" s="13" t="str">
        <f>IFERROR(VLOOKUP(Table_OurTFT[[#This Row],[개발자_성명]],Table_전체직원목록[[성명직급]:[상위관리자_메일주소]],5,0),"")</f>
        <v/>
      </c>
      <c r="L15" s="13" t="str">
        <f>IFERROR(VLOOKUP(Table_OurTFT[[#This Row],[개발자_성명]],Table_전체직원목록[[성명직급]:[상위관리자_메일주소]],6,0),"")</f>
        <v/>
      </c>
      <c r="M15" s="13" t="str">
        <f>IFERROR(VLOOKUP(Table_OurTFT[[#This Row],[개발자_성명]],Table_전체직원목록[[성명직급]:[상위관리자_메일주소]],7,0),"")</f>
        <v/>
      </c>
      <c r="N15" s="13" t="str">
        <f>IFERROR(VLOOKUP(Table_OurTFT[[#This Row],[개발자_성명]],Table_전체직원목록[[성명직급]:[상위관리자_메일주소]],8,0),"")</f>
        <v/>
      </c>
      <c r="O15" s="13" t="str">
        <f>IFERROR(VLOOKUP(Table_OurTFT[[#This Row],[개발자_성명]],Table_전체직원목록[[성명직급]:[상위관리자_메일주소]],9,0),"")</f>
        <v/>
      </c>
      <c r="P15" s="13" t="str">
        <f>IFERROR(VLOOKUP(Table_OurTFT[[#This Row],[개발자_성명]],Table_전체직원목록[[성명직급]:[상위관리자_메일주소]],10,0),"")</f>
        <v/>
      </c>
    </row>
  </sheetData>
  <mergeCells count="1">
    <mergeCell ref="B2:F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35FC-EBF9-4D93-A056-67270A625F08}">
  <sheetPr codeName="Sheet9"/>
  <dimension ref="B2:Z161"/>
  <sheetViews>
    <sheetView showGridLines="0" zoomScale="55" zoomScaleNormal="55" workbookViewId="0">
      <selection activeCell="Y20" sqref="Y20"/>
    </sheetView>
  </sheetViews>
  <sheetFormatPr defaultColWidth="9.140625" defaultRowHeight="17.100000000000001" customHeight="1"/>
  <cols>
    <col min="1" max="1" width="1.7109375" style="17" customWidth="1"/>
    <col min="2" max="3" width="9.7109375" style="8" customWidth="1"/>
    <col min="4" max="7" width="5.7109375" style="17" customWidth="1"/>
    <col min="8" max="8" width="40.7109375" style="17" customWidth="1"/>
    <col min="9" max="9" width="11" style="8" bestFit="1" customWidth="1"/>
    <col min="10" max="18" width="11" style="17" bestFit="1" customWidth="1"/>
    <col min="19" max="19" width="13.7109375" style="24" customWidth="1"/>
    <col min="20" max="20" width="13.7109375" style="8" customWidth="1"/>
    <col min="21" max="22" width="13.7109375" style="24" customWidth="1"/>
    <col min="23" max="23" width="13.7109375" style="8" customWidth="1"/>
    <col min="24" max="24" width="13.7109375" style="24" customWidth="1"/>
    <col min="25" max="25" width="15.7109375" style="29" customWidth="1"/>
    <col min="26" max="26" width="15.7109375" style="8" customWidth="1"/>
    <col min="27" max="16384" width="9.140625" style="17"/>
  </cols>
  <sheetData>
    <row r="2" spans="2:26" ht="26.25">
      <c r="B2" s="15" t="s">
        <v>634</v>
      </c>
      <c r="C2" s="15"/>
      <c r="D2" s="21"/>
      <c r="E2" s="21"/>
      <c r="F2" s="21"/>
      <c r="G2" s="21"/>
      <c r="H2" s="21"/>
    </row>
    <row r="3" spans="2:26" ht="17.100000000000001" customHeight="1">
      <c r="I3" s="8" t="str">
        <f>Table_Developer!B5</f>
        <v>정진우 수석</v>
      </c>
    </row>
    <row r="4" spans="2:26" ht="17.100000000000001" customHeight="1">
      <c r="I4" s="8" t="str">
        <f>Table_Developer!B6</f>
        <v>신유지 선임</v>
      </c>
    </row>
    <row r="5" spans="2:26" ht="17.100000000000001" customHeight="1">
      <c r="I5" s="8" t="str">
        <f>Table_Developer!B7</f>
        <v>김병준 선임</v>
      </c>
    </row>
    <row r="6" spans="2:26" ht="17.100000000000001" customHeight="1">
      <c r="I6" s="8" t="str">
        <f>Table_Developer!B9</f>
        <v>정민정 선임</v>
      </c>
    </row>
    <row r="7" spans="2:26" ht="17.100000000000001" customHeight="1">
      <c r="I7" s="8" t="str">
        <f>Table_Developer!B10</f>
        <v/>
      </c>
    </row>
    <row r="8" spans="2:26" ht="17.100000000000001" customHeight="1">
      <c r="I8" s="8" t="str">
        <f>Table_Developer!B11</f>
        <v/>
      </c>
    </row>
    <row r="9" spans="2:26" ht="17.100000000000001" customHeight="1">
      <c r="I9" s="8" t="str">
        <f>Table_Developer!B12</f>
        <v/>
      </c>
    </row>
    <row r="10" spans="2:26" ht="17.100000000000001" customHeight="1">
      <c r="I10" s="8" t="str">
        <f>Table_Developer!B13</f>
        <v/>
      </c>
    </row>
    <row r="11" spans="2:26" ht="17.100000000000001" customHeight="1">
      <c r="I11" s="8" t="str">
        <f>Table_Developer!B14</f>
        <v/>
      </c>
    </row>
    <row r="12" spans="2:26" ht="17.100000000000001" customHeight="1">
      <c r="I12" s="8" t="str">
        <f>Table_Developer!B15</f>
        <v/>
      </c>
    </row>
    <row r="13" spans="2:26" s="26" customFormat="1" ht="30.2" customHeight="1">
      <c r="B13" s="169" t="s">
        <v>635</v>
      </c>
      <c r="C13" s="169"/>
      <c r="D13" s="169"/>
      <c r="E13" s="169"/>
      <c r="F13" s="169"/>
      <c r="G13" s="169"/>
      <c r="H13" s="169"/>
      <c r="I13" s="168" t="s">
        <v>636</v>
      </c>
      <c r="J13" s="168"/>
      <c r="K13" s="168"/>
      <c r="L13" s="168"/>
      <c r="M13" s="168"/>
      <c r="N13" s="168"/>
      <c r="O13" s="168"/>
      <c r="P13" s="168"/>
      <c r="Q13" s="168"/>
      <c r="R13" s="168"/>
      <c r="S13" s="168" t="s">
        <v>637</v>
      </c>
      <c r="T13" s="168"/>
      <c r="U13" s="168"/>
      <c r="V13" s="168" t="s">
        <v>638</v>
      </c>
      <c r="W13" s="168"/>
      <c r="X13" s="168"/>
      <c r="Y13" s="168" t="s">
        <v>639</v>
      </c>
      <c r="Z13" s="168"/>
    </row>
    <row r="14" spans="2:26" s="16" customFormat="1" ht="30.2" customHeight="1">
      <c r="B14" s="32" t="s">
        <v>640</v>
      </c>
      <c r="C14" s="33" t="s">
        <v>641</v>
      </c>
      <c r="D14" s="33" t="s">
        <v>642</v>
      </c>
      <c r="E14" s="33" t="s">
        <v>643</v>
      </c>
      <c r="F14" s="33" t="s">
        <v>644</v>
      </c>
      <c r="G14" s="33" t="s">
        <v>645</v>
      </c>
      <c r="H14" s="34" t="s">
        <v>646</v>
      </c>
      <c r="I14" s="25" t="str">
        <f>Table_Developer!B5</f>
        <v>정진우 수석</v>
      </c>
      <c r="J14" s="25" t="str">
        <f>Table_Developer!B6</f>
        <v>신유지 선임</v>
      </c>
      <c r="K14" s="25" t="str">
        <f>Table_Developer!B7</f>
        <v>김병준 선임</v>
      </c>
      <c r="L14" s="25" t="str">
        <f>Table_Developer!B9</f>
        <v>정민정 선임</v>
      </c>
      <c r="M14" s="25" t="str">
        <f>Table_Developer!B10</f>
        <v/>
      </c>
      <c r="N14" s="25" t="str">
        <f>Table_Developer!B11</f>
        <v/>
      </c>
      <c r="O14" s="25" t="str">
        <f>Table_Developer!B12</f>
        <v/>
      </c>
      <c r="P14" s="25" t="str">
        <f>Table_Developer!B13</f>
        <v/>
      </c>
      <c r="Q14" s="25" t="str">
        <f>Table_Developer!B14</f>
        <v/>
      </c>
      <c r="R14" s="25" t="str">
        <f>Table_Developer!B15</f>
        <v/>
      </c>
      <c r="S14" s="27" t="s">
        <v>647</v>
      </c>
      <c r="T14" s="25" t="s">
        <v>648</v>
      </c>
      <c r="U14" s="27" t="s">
        <v>649</v>
      </c>
      <c r="V14" s="27" t="s">
        <v>650</v>
      </c>
      <c r="W14" s="25" t="s">
        <v>651</v>
      </c>
      <c r="X14" s="27" t="s">
        <v>652</v>
      </c>
      <c r="Y14" s="28" t="s">
        <v>653</v>
      </c>
      <c r="Z14" s="25" t="s">
        <v>654</v>
      </c>
    </row>
    <row r="15" spans="2:26" ht="17.100000000000001" customHeight="1">
      <c r="B15" s="18">
        <v>1</v>
      </c>
      <c r="C15" s="31" t="s">
        <v>655</v>
      </c>
      <c r="D15" s="19" t="s">
        <v>656</v>
      </c>
      <c r="E15" s="19"/>
      <c r="F15" s="19"/>
      <c r="G15" s="19"/>
      <c r="H15" s="20"/>
      <c r="I15" s="22" t="str">
        <f>IF(COUNTIF(I16:I24,"●")&gt;0,"●","")</f>
        <v>●</v>
      </c>
      <c r="J15" s="22" t="str">
        <f t="shared" ref="J15:R15" si="0">IF(COUNTIF(J16:J24,"●")&gt;0,"●","")</f>
        <v>●</v>
      </c>
      <c r="K15" s="22" t="str">
        <f t="shared" si="0"/>
        <v/>
      </c>
      <c r="L15" s="22" t="str">
        <f t="shared" si="0"/>
        <v/>
      </c>
      <c r="M15" s="22" t="str">
        <f t="shared" si="0"/>
        <v>●</v>
      </c>
      <c r="N15" s="22" t="str">
        <f t="shared" si="0"/>
        <v/>
      </c>
      <c r="O15" s="22" t="str">
        <f t="shared" si="0"/>
        <v/>
      </c>
      <c r="P15" s="22" t="str">
        <f t="shared" si="0"/>
        <v/>
      </c>
      <c r="Q15" s="22" t="str">
        <f t="shared" si="0"/>
        <v/>
      </c>
      <c r="R15" s="22" t="str">
        <f t="shared" si="0"/>
        <v/>
      </c>
      <c r="S15" s="23">
        <f>IF(MIN(S16:S24)=0,"",MIN(S16:S24))</f>
        <v>44838</v>
      </c>
      <c r="T15" s="22">
        <f ca="1">IF(AND(S15="",U15="")=TRUE,"",IF(AND(S15&gt;0,U15="")=TRUE,NETWORKDAYS(S15,TODAY(),Holidays),NETWORKDAYS(S15,U15,Holidays)))</f>
        <v>14</v>
      </c>
      <c r="U15" s="23">
        <f>IF(MAX(U16:U24)=0,"",MAX(U16:U24))</f>
        <v>44855</v>
      </c>
      <c r="V15" s="23">
        <f>IF(MIN(V16:V24)=0,"",MIN(V16:V24))</f>
        <v>44838</v>
      </c>
      <c r="W15" s="22">
        <f t="shared" ref="W15:W46" ca="1" si="1">IF(AND(V15="",X15="")=TRUE,"",IF(AND(V15&gt;0,X15="")=TRUE,NETWORKDAYS(V15,TODAY(),Holidays),NETWORKDAYS(V15,X15,Holidays)))</f>
        <v>14</v>
      </c>
      <c r="X15" s="23">
        <f>IF(MAX(X16:X24)=0,"",MAX(X16:X24))</f>
        <v>44855</v>
      </c>
      <c r="Y15" s="30">
        <f>IFERROR(AVERAGE(Y16:Y24),"")</f>
        <v>1</v>
      </c>
      <c r="Z15" s="22" t="str">
        <f>IF(Y15=100%,"Completed",IF(AND(Y15&lt;100%,Y15&gt;0%)=TRUE,"In-Progress","Open"))</f>
        <v>Completed</v>
      </c>
    </row>
    <row r="16" spans="2:26" ht="17.100000000000001" customHeight="1">
      <c r="B16" s="18">
        <v>2</v>
      </c>
      <c r="C16" s="31" t="s">
        <v>655</v>
      </c>
      <c r="D16" s="19"/>
      <c r="E16" s="19" t="s">
        <v>657</v>
      </c>
      <c r="F16" s="19"/>
      <c r="G16" s="19"/>
      <c r="H16" s="20"/>
      <c r="I16" s="22" t="str">
        <f>IF(COUNTIF(I17:I18,"●")&gt;0,"●","")</f>
        <v>●</v>
      </c>
      <c r="J16" s="22" t="str">
        <f t="shared" ref="J16:R16" si="2">IF(COUNTIF(J17:J18,"●")&gt;0,"●","")</f>
        <v>●</v>
      </c>
      <c r="K16" s="22" t="str">
        <f t="shared" si="2"/>
        <v/>
      </c>
      <c r="L16" s="22" t="str">
        <f t="shared" si="2"/>
        <v/>
      </c>
      <c r="M16" s="22" t="str">
        <f t="shared" si="2"/>
        <v/>
      </c>
      <c r="N16" s="22" t="str">
        <f t="shared" si="2"/>
        <v/>
      </c>
      <c r="O16" s="22" t="str">
        <f t="shared" si="2"/>
        <v/>
      </c>
      <c r="P16" s="22" t="str">
        <f t="shared" si="2"/>
        <v/>
      </c>
      <c r="Q16" s="22" t="str">
        <f t="shared" si="2"/>
        <v/>
      </c>
      <c r="R16" s="22" t="str">
        <f t="shared" si="2"/>
        <v/>
      </c>
      <c r="S16" s="23">
        <f>IF(MIN(S17:S18)=0,"",MIN(S17:S18))</f>
        <v>44838</v>
      </c>
      <c r="T16" s="22">
        <f ca="1">IF(AND(S16="",U16="")=TRUE,"",IF(AND(S16&gt;0,U16="")=TRUE,NETWORKDAYS(S16,TODAY(),Holidays),NETWORKDAYS(S16,U16,Holidays)))</f>
        <v>1</v>
      </c>
      <c r="U16" s="23">
        <f>IF(MAX(U17:U18)=0,"",MAX(U17:U18))</f>
        <v>44838</v>
      </c>
      <c r="V16" s="23">
        <f>IF(MIN(V17:V18)=0,"",MIN(V17:V18))</f>
        <v>44838</v>
      </c>
      <c r="W16" s="22">
        <f t="shared" ca="1" si="1"/>
        <v>1</v>
      </c>
      <c r="X16" s="23">
        <f>IF(MAX(X17:X18)=0,"",MAX(X17:X18))</f>
        <v>44838</v>
      </c>
      <c r="Y16" s="30">
        <f>IFERROR(AVERAGE(Y17:Y18),"")</f>
        <v>1</v>
      </c>
      <c r="Z16" s="22" t="str">
        <f t="shared" ref="Z16:Z79" si="3">IF(Y16=100%,"Completed",IF(AND(Y16&lt;100%,Y16&gt;0%)=TRUE,"In-Progress","Open"))</f>
        <v>Completed</v>
      </c>
    </row>
    <row r="17" spans="2:26" ht="17.100000000000001" customHeight="1">
      <c r="B17" s="18">
        <v>3</v>
      </c>
      <c r="C17" s="31" t="s">
        <v>658</v>
      </c>
      <c r="D17" s="19"/>
      <c r="E17" s="19"/>
      <c r="F17" s="19" t="s">
        <v>659</v>
      </c>
      <c r="G17" s="19"/>
      <c r="H17" s="20"/>
      <c r="I17" s="22" t="s">
        <v>660</v>
      </c>
      <c r="J17" s="22" t="s">
        <v>660</v>
      </c>
      <c r="K17" s="22" t="s">
        <v>1</v>
      </c>
      <c r="L17" s="22" t="s">
        <v>1</v>
      </c>
      <c r="M17" s="22" t="s">
        <v>1</v>
      </c>
      <c r="N17" s="22" t="s">
        <v>1</v>
      </c>
      <c r="O17" s="22" t="s">
        <v>1</v>
      </c>
      <c r="P17" s="22" t="s">
        <v>1</v>
      </c>
      <c r="Q17" s="22" t="s">
        <v>1</v>
      </c>
      <c r="R17" s="22" t="s">
        <v>1</v>
      </c>
      <c r="S17" s="23">
        <v>44838</v>
      </c>
      <c r="T17" s="22">
        <v>1</v>
      </c>
      <c r="U17" s="23">
        <f>IF(AND(S17="",T17="")=TRUE,"",WORKDAY(S17,T17-1,Holidays))</f>
        <v>44838</v>
      </c>
      <c r="V17" s="23">
        <v>44838</v>
      </c>
      <c r="W17" s="22">
        <f t="shared" ca="1" si="1"/>
        <v>1</v>
      </c>
      <c r="X17" s="23">
        <v>44838</v>
      </c>
      <c r="Y17" s="30">
        <v>1</v>
      </c>
      <c r="Z17" s="22" t="str">
        <f t="shared" si="3"/>
        <v>Completed</v>
      </c>
    </row>
    <row r="18" spans="2:26" ht="17.100000000000001" customHeight="1">
      <c r="B18" s="18">
        <v>3</v>
      </c>
      <c r="C18" s="31" t="s">
        <v>658</v>
      </c>
      <c r="D18" s="19"/>
      <c r="E18" s="19"/>
      <c r="F18" s="19" t="s">
        <v>661</v>
      </c>
      <c r="G18" s="19"/>
      <c r="H18" s="20"/>
      <c r="I18" s="22" t="s">
        <v>660</v>
      </c>
      <c r="J18" s="22" t="s">
        <v>660</v>
      </c>
      <c r="K18" s="22" t="s">
        <v>1</v>
      </c>
      <c r="L18" s="22" t="s">
        <v>1</v>
      </c>
      <c r="M18" s="22" t="s">
        <v>1</v>
      </c>
      <c r="N18" s="22" t="s">
        <v>1</v>
      </c>
      <c r="O18" s="22" t="s">
        <v>1</v>
      </c>
      <c r="P18" s="22" t="s">
        <v>1</v>
      </c>
      <c r="Q18" s="22" t="s">
        <v>1</v>
      </c>
      <c r="R18" s="22" t="s">
        <v>1</v>
      </c>
      <c r="S18" s="23">
        <v>44838</v>
      </c>
      <c r="T18" s="22">
        <v>1</v>
      </c>
      <c r="U18" s="23">
        <f>IF(AND(S18="",T18="")=TRUE,"",WORKDAY(S18,T18-1,Holidays))</f>
        <v>44838</v>
      </c>
      <c r="V18" s="23">
        <v>44838</v>
      </c>
      <c r="W18" s="22">
        <f t="shared" ca="1" si="1"/>
        <v>1</v>
      </c>
      <c r="X18" s="23">
        <v>44838</v>
      </c>
      <c r="Y18" s="30">
        <v>1</v>
      </c>
      <c r="Z18" s="22" t="str">
        <f t="shared" si="3"/>
        <v>Completed</v>
      </c>
    </row>
    <row r="19" spans="2:26" ht="17.100000000000001" customHeight="1">
      <c r="B19" s="18">
        <v>2</v>
      </c>
      <c r="C19" s="31" t="s">
        <v>655</v>
      </c>
      <c r="D19" s="19"/>
      <c r="E19" s="19" t="s">
        <v>662</v>
      </c>
      <c r="F19" s="19"/>
      <c r="G19" s="19"/>
      <c r="H19" s="20"/>
      <c r="I19" s="22" t="str">
        <f t="shared" ref="I19" si="4">IF(COUNTIF(I20:I21,"●")&gt;0,"●","")</f>
        <v>●</v>
      </c>
      <c r="J19" s="22" t="str">
        <f t="shared" ref="J19" si="5">IF(COUNTIF(J20:J21,"●")&gt;0,"●","")</f>
        <v>●</v>
      </c>
      <c r="K19" s="22" t="str">
        <f t="shared" ref="K19" si="6">IF(COUNTIF(K20:K21,"●")&gt;0,"●","")</f>
        <v/>
      </c>
      <c r="L19" s="22" t="str">
        <f t="shared" ref="L19" si="7">IF(COUNTIF(L20:L21,"●")&gt;0,"●","")</f>
        <v/>
      </c>
      <c r="M19" s="22" t="str">
        <f t="shared" ref="M19" si="8">IF(COUNTIF(M20:M21,"●")&gt;0,"●","")</f>
        <v/>
      </c>
      <c r="N19" s="22" t="str">
        <f t="shared" ref="N19" si="9">IF(COUNTIF(N20:N21,"●")&gt;0,"●","")</f>
        <v/>
      </c>
      <c r="O19" s="22" t="str">
        <f t="shared" ref="O19" si="10">IF(COUNTIF(O20:O21,"●")&gt;0,"●","")</f>
        <v/>
      </c>
      <c r="P19" s="22" t="str">
        <f t="shared" ref="P19" si="11">IF(COUNTIF(P20:P21,"●")&gt;0,"●","")</f>
        <v/>
      </c>
      <c r="Q19" s="22" t="str">
        <f t="shared" ref="Q19" si="12">IF(COUNTIF(Q20:Q21,"●")&gt;0,"●","")</f>
        <v/>
      </c>
      <c r="R19" s="22" t="str">
        <f t="shared" ref="R19" si="13">IF(COUNTIF(R20:R21,"●")&gt;0,"●","")</f>
        <v/>
      </c>
      <c r="S19" s="23">
        <f>IF(MIN(S20:S21)=0,"",MIN(S20:S21))</f>
        <v>44838</v>
      </c>
      <c r="T19" s="22">
        <f ca="1">IF(AND(S19="",U19="")=TRUE,"",IF(AND(S19&gt;0,U19="")=TRUE,NETWORKDAYS(S19,TODAY(),Holidays),NETWORKDAYS(S19,U19,Holidays)))</f>
        <v>4</v>
      </c>
      <c r="U19" s="23">
        <f>IF(MAX(U20:U21)=0,"",MAX(U20:U21))</f>
        <v>44841</v>
      </c>
      <c r="V19" s="23">
        <f>IF(MIN(V20:V21)=0,"",MIN(V20:V21))</f>
        <v>44838</v>
      </c>
      <c r="W19" s="22">
        <f t="shared" ca="1" si="1"/>
        <v>4</v>
      </c>
      <c r="X19" s="23">
        <f>IF(MAX(X20:X21)=0,"",MAX(X20:X21))</f>
        <v>44841</v>
      </c>
      <c r="Y19" s="30">
        <f>IFERROR(AVERAGE(Y20:Y21),"")</f>
        <v>1</v>
      </c>
      <c r="Z19" s="22" t="str">
        <f t="shared" si="3"/>
        <v>Completed</v>
      </c>
    </row>
    <row r="20" spans="2:26" ht="17.100000000000001" customHeight="1">
      <c r="B20" s="18">
        <v>3</v>
      </c>
      <c r="C20" s="31" t="s">
        <v>658</v>
      </c>
      <c r="D20" s="19"/>
      <c r="E20" s="19"/>
      <c r="F20" s="19" t="s">
        <v>663</v>
      </c>
      <c r="G20" s="19"/>
      <c r="H20" s="20"/>
      <c r="I20" s="22" t="s">
        <v>660</v>
      </c>
      <c r="J20" s="22" t="s">
        <v>660</v>
      </c>
      <c r="K20" s="22" t="s">
        <v>1</v>
      </c>
      <c r="L20" s="22" t="s">
        <v>1</v>
      </c>
      <c r="M20" s="22" t="s">
        <v>1</v>
      </c>
      <c r="N20" s="22" t="s">
        <v>1</v>
      </c>
      <c r="O20" s="22" t="s">
        <v>1</v>
      </c>
      <c r="P20" s="22" t="s">
        <v>1</v>
      </c>
      <c r="Q20" s="22" t="s">
        <v>1</v>
      </c>
      <c r="R20" s="22" t="s">
        <v>1</v>
      </c>
      <c r="S20" s="23">
        <v>44838</v>
      </c>
      <c r="T20" s="22">
        <v>4</v>
      </c>
      <c r="U20" s="23">
        <f>IF(AND(S20="",T20="")=TRUE,"",WORKDAY(S20,T20-1,Holidays))</f>
        <v>44841</v>
      </c>
      <c r="V20" s="23">
        <v>44838</v>
      </c>
      <c r="W20" s="22">
        <f t="shared" ca="1" si="1"/>
        <v>4</v>
      </c>
      <c r="X20" s="23">
        <v>44841</v>
      </c>
      <c r="Y20" s="30">
        <v>1</v>
      </c>
      <c r="Z20" s="22" t="str">
        <f t="shared" si="3"/>
        <v>Completed</v>
      </c>
    </row>
    <row r="21" spans="2:26" ht="17.100000000000001" customHeight="1">
      <c r="B21" s="18">
        <v>3</v>
      </c>
      <c r="C21" s="31" t="s">
        <v>658</v>
      </c>
      <c r="D21" s="19"/>
      <c r="E21" s="19"/>
      <c r="F21" s="19" t="s">
        <v>664</v>
      </c>
      <c r="G21" s="19"/>
      <c r="H21" s="20"/>
      <c r="I21" s="22" t="s">
        <v>660</v>
      </c>
      <c r="J21" s="22" t="s">
        <v>660</v>
      </c>
      <c r="K21" s="22" t="s">
        <v>1</v>
      </c>
      <c r="L21" s="22" t="s">
        <v>1</v>
      </c>
      <c r="M21" s="22" t="s">
        <v>1</v>
      </c>
      <c r="N21" s="22" t="s">
        <v>1</v>
      </c>
      <c r="O21" s="22" t="s">
        <v>1</v>
      </c>
      <c r="P21" s="22" t="s">
        <v>1</v>
      </c>
      <c r="Q21" s="22" t="s">
        <v>1</v>
      </c>
      <c r="R21" s="22" t="s">
        <v>1</v>
      </c>
      <c r="S21" s="23">
        <v>44838</v>
      </c>
      <c r="T21" s="22">
        <v>4</v>
      </c>
      <c r="U21" s="23">
        <f>IF(AND(S21="",T21="")=TRUE,"",WORKDAY(S21,T21-1,Holidays))</f>
        <v>44841</v>
      </c>
      <c r="V21" s="23">
        <v>44838</v>
      </c>
      <c r="W21" s="22">
        <f t="shared" ca="1" si="1"/>
        <v>4</v>
      </c>
      <c r="X21" s="23">
        <v>44841</v>
      </c>
      <c r="Y21" s="30">
        <v>1</v>
      </c>
      <c r="Z21" s="22" t="str">
        <f t="shared" si="3"/>
        <v>Completed</v>
      </c>
    </row>
    <row r="22" spans="2:26" ht="17.100000000000001" customHeight="1">
      <c r="B22" s="18">
        <v>2</v>
      </c>
      <c r="C22" s="31" t="s">
        <v>655</v>
      </c>
      <c r="D22" s="19"/>
      <c r="E22" s="19" t="s">
        <v>665</v>
      </c>
      <c r="F22" s="19"/>
      <c r="G22" s="19"/>
      <c r="H22" s="20"/>
      <c r="I22" s="22" t="str">
        <f t="shared" ref="I22" si="14">IF(COUNTIF(I23:I24,"●")&gt;0,"●","")</f>
        <v>●</v>
      </c>
      <c r="J22" s="22" t="str">
        <f t="shared" ref="J22" si="15">IF(COUNTIF(J23:J24,"●")&gt;0,"●","")</f>
        <v>●</v>
      </c>
      <c r="K22" s="22" t="str">
        <f t="shared" ref="K22" si="16">IF(COUNTIF(K23:K24,"●")&gt;0,"●","")</f>
        <v/>
      </c>
      <c r="L22" s="22" t="str">
        <f t="shared" ref="L22" si="17">IF(COUNTIF(L23:L24,"●")&gt;0,"●","")</f>
        <v/>
      </c>
      <c r="M22" s="22" t="str">
        <f t="shared" ref="M22" si="18">IF(COUNTIF(M23:M24,"●")&gt;0,"●","")</f>
        <v>●</v>
      </c>
      <c r="N22" s="22" t="str">
        <f t="shared" ref="N22" si="19">IF(COUNTIF(N23:N24,"●")&gt;0,"●","")</f>
        <v/>
      </c>
      <c r="O22" s="22" t="str">
        <f t="shared" ref="O22" si="20">IF(COUNTIF(O23:O24,"●")&gt;0,"●","")</f>
        <v/>
      </c>
      <c r="P22" s="22" t="str">
        <f t="shared" ref="P22" si="21">IF(COUNTIF(P23:P24,"●")&gt;0,"●","")</f>
        <v/>
      </c>
      <c r="Q22" s="22" t="str">
        <f t="shared" ref="Q22" si="22">IF(COUNTIF(Q23:Q24,"●")&gt;0,"●","")</f>
        <v/>
      </c>
      <c r="R22" s="22" t="str">
        <f t="shared" ref="R22" si="23">IF(COUNTIF(R23:R24,"●")&gt;0,"●","")</f>
        <v/>
      </c>
      <c r="S22" s="23">
        <f>IF(MIN(S23:S24)=0,"",MIN(S23:S24))</f>
        <v>44845</v>
      </c>
      <c r="T22" s="22">
        <f ca="1">IF(AND(S22="",U22="")=TRUE,"",IF(AND(S22&gt;0,U22="")=TRUE,NETWORKDAYS(S22,TODAY(),Holidays),NETWORKDAYS(S22,U22,Holidays)))</f>
        <v>9</v>
      </c>
      <c r="U22" s="23">
        <f>IF(MAX(U23:U24)=0,"",MAX(U23:U24))</f>
        <v>44855</v>
      </c>
      <c r="V22" s="23">
        <f>IF(MIN(V23:V24)=0,"",MIN(V23:V24))</f>
        <v>44845</v>
      </c>
      <c r="W22" s="22">
        <f t="shared" ca="1" si="1"/>
        <v>9</v>
      </c>
      <c r="X22" s="23">
        <f>IF(MAX(X23:X24)=0,"",MAX(X23:X24))</f>
        <v>44855</v>
      </c>
      <c r="Y22" s="30">
        <f>IFERROR(AVERAGE(Y23:Y24),"")</f>
        <v>1</v>
      </c>
      <c r="Z22" s="22" t="str">
        <f t="shared" si="3"/>
        <v>Completed</v>
      </c>
    </row>
    <row r="23" spans="2:26" ht="17.100000000000001" customHeight="1">
      <c r="B23" s="18">
        <v>3</v>
      </c>
      <c r="C23" s="31" t="s">
        <v>658</v>
      </c>
      <c r="D23" s="19"/>
      <c r="E23" s="19"/>
      <c r="F23" s="19" t="s">
        <v>666</v>
      </c>
      <c r="G23" s="19"/>
      <c r="H23" s="20"/>
      <c r="I23" s="22" t="s">
        <v>660</v>
      </c>
      <c r="J23" s="22" t="s">
        <v>660</v>
      </c>
      <c r="K23" s="22" t="s">
        <v>1</v>
      </c>
      <c r="L23" s="22" t="s">
        <v>1</v>
      </c>
      <c r="M23" s="22" t="s">
        <v>660</v>
      </c>
      <c r="N23" s="22" t="s">
        <v>1</v>
      </c>
      <c r="O23" s="22" t="s">
        <v>1</v>
      </c>
      <c r="P23" s="22" t="s">
        <v>1</v>
      </c>
      <c r="Q23" s="22" t="s">
        <v>1</v>
      </c>
      <c r="R23" s="22" t="s">
        <v>1</v>
      </c>
      <c r="S23" s="23">
        <v>44845</v>
      </c>
      <c r="T23" s="22">
        <v>4</v>
      </c>
      <c r="U23" s="23">
        <f>IF(AND(S23="",T23="")=TRUE,"",WORKDAY(S23,T23-1,Holidays))</f>
        <v>44848</v>
      </c>
      <c r="V23" s="23">
        <v>44845</v>
      </c>
      <c r="W23" s="22">
        <f t="shared" ca="1" si="1"/>
        <v>4</v>
      </c>
      <c r="X23" s="23">
        <v>44848</v>
      </c>
      <c r="Y23" s="30">
        <v>1</v>
      </c>
      <c r="Z23" s="22" t="str">
        <f t="shared" si="3"/>
        <v>Completed</v>
      </c>
    </row>
    <row r="24" spans="2:26" ht="17.100000000000001" customHeight="1">
      <c r="B24" s="18">
        <v>3</v>
      </c>
      <c r="C24" s="31" t="s">
        <v>658</v>
      </c>
      <c r="D24" s="19"/>
      <c r="E24" s="19"/>
      <c r="F24" s="19" t="s">
        <v>667</v>
      </c>
      <c r="G24" s="19"/>
      <c r="H24" s="20"/>
      <c r="I24" s="22" t="s">
        <v>660</v>
      </c>
      <c r="J24" s="22" t="s">
        <v>1</v>
      </c>
      <c r="K24" s="22" t="s">
        <v>1</v>
      </c>
      <c r="L24" s="22" t="s">
        <v>1</v>
      </c>
      <c r="M24" s="22" t="s">
        <v>660</v>
      </c>
      <c r="N24" s="22" t="s">
        <v>1</v>
      </c>
      <c r="O24" s="22" t="s">
        <v>1</v>
      </c>
      <c r="P24" s="22" t="s">
        <v>1</v>
      </c>
      <c r="Q24" s="22" t="s">
        <v>1</v>
      </c>
      <c r="R24" s="22" t="s">
        <v>1</v>
      </c>
      <c r="S24" s="23">
        <v>44851</v>
      </c>
      <c r="T24" s="22">
        <v>5</v>
      </c>
      <c r="U24" s="23">
        <f>IF(AND(S24="",T24="")=TRUE,"",WORKDAY(S24,T24-1,Holidays))</f>
        <v>44855</v>
      </c>
      <c r="V24" s="23">
        <v>44851</v>
      </c>
      <c r="W24" s="22">
        <f t="shared" ca="1" si="1"/>
        <v>5</v>
      </c>
      <c r="X24" s="23">
        <v>44855</v>
      </c>
      <c r="Y24" s="30">
        <v>1</v>
      </c>
      <c r="Z24" s="22" t="str">
        <f t="shared" si="3"/>
        <v>Completed</v>
      </c>
    </row>
    <row r="25" spans="2:26" ht="17.100000000000001" customHeight="1">
      <c r="B25" s="18">
        <v>1</v>
      </c>
      <c r="C25" s="31" t="s">
        <v>655</v>
      </c>
      <c r="D25" s="19" t="s">
        <v>668</v>
      </c>
      <c r="E25" s="19"/>
      <c r="F25" s="19"/>
      <c r="G25" s="19"/>
      <c r="H25" s="20"/>
      <c r="I25" s="22" t="str">
        <f>IF(COUNTIF(I26:I32,"●")&gt;0,"●","")</f>
        <v>●</v>
      </c>
      <c r="J25" s="22" t="str">
        <f t="shared" ref="J25:R25" si="24">IF(COUNTIF(J26:J32,"●")&gt;0,"●","")</f>
        <v>●</v>
      </c>
      <c r="K25" s="22" t="str">
        <f t="shared" si="24"/>
        <v/>
      </c>
      <c r="L25" s="22" t="str">
        <f t="shared" si="24"/>
        <v/>
      </c>
      <c r="M25" s="22" t="str">
        <f t="shared" si="24"/>
        <v>●</v>
      </c>
      <c r="N25" s="22" t="str">
        <f t="shared" si="24"/>
        <v>●</v>
      </c>
      <c r="O25" s="22" t="str">
        <f t="shared" si="24"/>
        <v>●</v>
      </c>
      <c r="P25" s="22" t="str">
        <f t="shared" si="24"/>
        <v/>
      </c>
      <c r="Q25" s="22" t="str">
        <f t="shared" si="24"/>
        <v/>
      </c>
      <c r="R25" s="22" t="str">
        <f t="shared" si="24"/>
        <v/>
      </c>
      <c r="S25" s="23">
        <f>IF(MIN(S26:S32)=0,"",MIN(S26:S32))</f>
        <v>44858</v>
      </c>
      <c r="T25" s="22">
        <f ca="1">IF(AND(S25="",U25="")=TRUE,"",IF(AND(S25&gt;0,U25="")=TRUE,NETWORKDAYS(S25,TODAY(),Holidays),NETWORKDAYS(S25,U25,Holidays)))</f>
        <v>25</v>
      </c>
      <c r="U25" s="23">
        <f>IF(MAX(U26:U32)=0,"",MAX(U26:U32))</f>
        <v>44890</v>
      </c>
      <c r="V25" s="23">
        <f>IF(MIN(V26:V32)=0,"",MIN(V26:V32))</f>
        <v>44858</v>
      </c>
      <c r="W25" s="22">
        <f t="shared" ca="1" si="1"/>
        <v>25</v>
      </c>
      <c r="X25" s="23">
        <f>IF(MAX(X26:X32)=0,"",MAX(X26:X32))</f>
        <v>44890</v>
      </c>
      <c r="Y25" s="30">
        <f>IFERROR(AVERAGE(Y26:Y32),"")</f>
        <v>1</v>
      </c>
      <c r="Z25" s="22" t="str">
        <f t="shared" si="3"/>
        <v>Completed</v>
      </c>
    </row>
    <row r="26" spans="2:26" ht="17.100000000000001" customHeight="1">
      <c r="B26" s="18">
        <v>2</v>
      </c>
      <c r="C26" s="31" t="s">
        <v>655</v>
      </c>
      <c r="D26" s="19"/>
      <c r="E26" s="19" t="s">
        <v>669</v>
      </c>
      <c r="F26" s="19"/>
      <c r="G26" s="19"/>
      <c r="H26" s="20"/>
      <c r="I26" s="22" t="str">
        <f t="shared" ref="I26" si="25">IF(COUNTIF(I27:I28,"●")&gt;0,"●","")</f>
        <v>●</v>
      </c>
      <c r="J26" s="22" t="str">
        <f t="shared" ref="J26" si="26">IF(COUNTIF(J27:J28,"●")&gt;0,"●","")</f>
        <v>●</v>
      </c>
      <c r="K26" s="22" t="str">
        <f t="shared" ref="K26" si="27">IF(COUNTIF(K27:K28,"●")&gt;0,"●","")</f>
        <v/>
      </c>
      <c r="L26" s="22" t="str">
        <f t="shared" ref="L26" si="28">IF(COUNTIF(L27:L28,"●")&gt;0,"●","")</f>
        <v/>
      </c>
      <c r="M26" s="22" t="str">
        <f t="shared" ref="M26" si="29">IF(COUNTIF(M27:M28,"●")&gt;0,"●","")</f>
        <v>●</v>
      </c>
      <c r="N26" s="22" t="str">
        <f t="shared" ref="N26" si="30">IF(COUNTIF(N27:N28,"●")&gt;0,"●","")</f>
        <v/>
      </c>
      <c r="O26" s="22" t="str">
        <f t="shared" ref="O26" si="31">IF(COUNTIF(O27:O28,"●")&gt;0,"●","")</f>
        <v/>
      </c>
      <c r="P26" s="22" t="str">
        <f t="shared" ref="P26" si="32">IF(COUNTIF(P27:P28,"●")&gt;0,"●","")</f>
        <v/>
      </c>
      <c r="Q26" s="22" t="str">
        <f t="shared" ref="Q26" si="33">IF(COUNTIF(Q27:Q28,"●")&gt;0,"●","")</f>
        <v/>
      </c>
      <c r="R26" s="22" t="str">
        <f t="shared" ref="R26" si="34">IF(COUNTIF(R27:R28,"●")&gt;0,"●","")</f>
        <v/>
      </c>
      <c r="S26" s="23">
        <f>IF(MIN(S27:S28)=0,"",MIN(S27:S28))</f>
        <v>44858</v>
      </c>
      <c r="T26" s="22">
        <f ca="1">IF(AND(S26="",U26="")=TRUE,"",IF(AND(S26&gt;0,U26="")=TRUE,NETWORKDAYS(S26,TODAY(),Holidays),NETWORKDAYS(S26,U26,Holidays)))</f>
        <v>10</v>
      </c>
      <c r="U26" s="23">
        <f>IF(MAX(U27:U28)=0,"",MAX(U27:U28))</f>
        <v>44869</v>
      </c>
      <c r="V26" s="23">
        <f>IF(MIN(V27:V28)=0,"",MIN(V27:V28))</f>
        <v>44858</v>
      </c>
      <c r="W26" s="22">
        <f t="shared" ca="1" si="1"/>
        <v>10</v>
      </c>
      <c r="X26" s="23">
        <f>IF(MAX(X27:X28)=0,"",MAX(X27:X28))</f>
        <v>44869</v>
      </c>
      <c r="Y26" s="30">
        <f>IFERROR(AVERAGE(Y27:Y28),"")</f>
        <v>1</v>
      </c>
      <c r="Z26" s="22" t="str">
        <f t="shared" si="3"/>
        <v>Completed</v>
      </c>
    </row>
    <row r="27" spans="2:26" ht="17.100000000000001" customHeight="1">
      <c r="B27" s="18">
        <v>3</v>
      </c>
      <c r="C27" s="31" t="s">
        <v>658</v>
      </c>
      <c r="D27" s="19"/>
      <c r="E27" s="19"/>
      <c r="F27" s="19" t="s">
        <v>670</v>
      </c>
      <c r="G27" s="19"/>
      <c r="H27" s="20"/>
      <c r="I27" s="22" t="s">
        <v>660</v>
      </c>
      <c r="J27" s="22" t="s">
        <v>1</v>
      </c>
      <c r="K27" s="22" t="s">
        <v>1</v>
      </c>
      <c r="L27" s="22" t="s">
        <v>1</v>
      </c>
      <c r="M27" s="22" t="s">
        <v>660</v>
      </c>
      <c r="N27" s="22" t="s">
        <v>1</v>
      </c>
      <c r="O27" s="22" t="s">
        <v>1</v>
      </c>
      <c r="P27" s="22" t="s">
        <v>1</v>
      </c>
      <c r="Q27" s="22" t="s">
        <v>1</v>
      </c>
      <c r="R27" s="22" t="s">
        <v>1</v>
      </c>
      <c r="S27" s="23">
        <v>44858</v>
      </c>
      <c r="T27" s="22">
        <v>5</v>
      </c>
      <c r="U27" s="23">
        <f>IF(AND(S27="",T27="")=TRUE,"",WORKDAY(S27,T27-1,Holidays))</f>
        <v>44862</v>
      </c>
      <c r="V27" s="23">
        <v>44858</v>
      </c>
      <c r="W27" s="22">
        <f t="shared" ca="1" si="1"/>
        <v>5</v>
      </c>
      <c r="X27" s="23">
        <v>44862</v>
      </c>
      <c r="Y27" s="30">
        <v>1</v>
      </c>
      <c r="Z27" s="22" t="str">
        <f t="shared" si="3"/>
        <v>Completed</v>
      </c>
    </row>
    <row r="28" spans="2:26" ht="17.100000000000001" customHeight="1">
      <c r="B28" s="18">
        <v>3</v>
      </c>
      <c r="C28" s="31" t="s">
        <v>658</v>
      </c>
      <c r="D28" s="19"/>
      <c r="E28" s="19"/>
      <c r="F28" s="19" t="s">
        <v>671</v>
      </c>
      <c r="G28" s="19"/>
      <c r="H28" s="20"/>
      <c r="I28" s="22" t="s">
        <v>660</v>
      </c>
      <c r="J28" s="22" t="s">
        <v>660</v>
      </c>
      <c r="K28" s="22" t="s">
        <v>1</v>
      </c>
      <c r="L28" s="22" t="s">
        <v>1</v>
      </c>
      <c r="M28" s="22" t="s">
        <v>1</v>
      </c>
      <c r="N28" s="22" t="s">
        <v>1</v>
      </c>
      <c r="O28" s="22" t="s">
        <v>1</v>
      </c>
      <c r="P28" s="22" t="s">
        <v>1</v>
      </c>
      <c r="Q28" s="22" t="s">
        <v>1</v>
      </c>
      <c r="R28" s="22" t="s">
        <v>1</v>
      </c>
      <c r="S28" s="23">
        <v>44865</v>
      </c>
      <c r="T28" s="22">
        <v>5</v>
      </c>
      <c r="U28" s="23">
        <f>IF(AND(S28="",T28="")=TRUE,"",WORKDAY(S28,T28-1,Holidays))</f>
        <v>44869</v>
      </c>
      <c r="V28" s="23">
        <v>44865</v>
      </c>
      <c r="W28" s="22">
        <f t="shared" ca="1" si="1"/>
        <v>5</v>
      </c>
      <c r="X28" s="23">
        <v>44869</v>
      </c>
      <c r="Y28" s="30">
        <v>1</v>
      </c>
      <c r="Z28" s="22" t="str">
        <f t="shared" si="3"/>
        <v>Completed</v>
      </c>
    </row>
    <row r="29" spans="2:26" ht="17.100000000000001" customHeight="1">
      <c r="B29" s="18">
        <v>2</v>
      </c>
      <c r="C29" s="31" t="s">
        <v>655</v>
      </c>
      <c r="D29" s="19"/>
      <c r="E29" s="19" t="s">
        <v>672</v>
      </c>
      <c r="F29" s="19"/>
      <c r="G29" s="19"/>
      <c r="H29" s="20"/>
      <c r="I29" s="22" t="str">
        <f>IF(COUNTIF(I30:I32,"●")&gt;0,"●","")</f>
        <v/>
      </c>
      <c r="J29" s="22" t="str">
        <f t="shared" ref="J29:R29" si="35">IF(COUNTIF(J30:J32,"●")&gt;0,"●","")</f>
        <v/>
      </c>
      <c r="K29" s="22" t="str">
        <f t="shared" si="35"/>
        <v/>
      </c>
      <c r="L29" s="22" t="str">
        <f t="shared" si="35"/>
        <v/>
      </c>
      <c r="M29" s="22" t="str">
        <f t="shared" si="35"/>
        <v>●</v>
      </c>
      <c r="N29" s="22" t="str">
        <f t="shared" si="35"/>
        <v>●</v>
      </c>
      <c r="O29" s="22" t="str">
        <f t="shared" si="35"/>
        <v>●</v>
      </c>
      <c r="P29" s="22" t="str">
        <f t="shared" si="35"/>
        <v/>
      </c>
      <c r="Q29" s="22" t="str">
        <f t="shared" si="35"/>
        <v/>
      </c>
      <c r="R29" s="22" t="str">
        <f t="shared" si="35"/>
        <v/>
      </c>
      <c r="S29" s="23">
        <f>IF(MIN(S30:S32)=0,"",MIN(S30:S32))</f>
        <v>44865</v>
      </c>
      <c r="T29" s="22">
        <f ca="1">IF(AND(S29="",U29="")=TRUE,"",IF(AND(S29&gt;0,U29="")=TRUE,NETWORKDAYS(S29,TODAY(),Holidays),NETWORKDAYS(S29,U29,Holidays)))</f>
        <v>20</v>
      </c>
      <c r="U29" s="23">
        <f>IF(MAX(U30:U32)=0,"",MAX(U30:U32))</f>
        <v>44890</v>
      </c>
      <c r="V29" s="23">
        <f>IF(MIN(V30:V32)=0,"",MIN(V30:V32))</f>
        <v>44865</v>
      </c>
      <c r="W29" s="22">
        <f t="shared" ca="1" si="1"/>
        <v>20</v>
      </c>
      <c r="X29" s="23">
        <f>IF(MAX(X30:X32)=0,"",MAX(X30:X32))</f>
        <v>44890</v>
      </c>
      <c r="Y29" s="30">
        <f>IFERROR(AVERAGE(Y30:Y32),"")</f>
        <v>1</v>
      </c>
      <c r="Z29" s="22" t="str">
        <f t="shared" si="3"/>
        <v>Completed</v>
      </c>
    </row>
    <row r="30" spans="2:26" ht="17.100000000000001" customHeight="1">
      <c r="B30" s="18">
        <v>3</v>
      </c>
      <c r="C30" s="31" t="s">
        <v>658</v>
      </c>
      <c r="D30" s="19"/>
      <c r="E30" s="19"/>
      <c r="F30" s="19" t="s">
        <v>673</v>
      </c>
      <c r="G30" s="19"/>
      <c r="H30" s="20"/>
      <c r="I30" s="22" t="s">
        <v>1</v>
      </c>
      <c r="J30" s="22" t="s">
        <v>1</v>
      </c>
      <c r="K30" s="22" t="s">
        <v>1</v>
      </c>
      <c r="L30" s="22" t="s">
        <v>1</v>
      </c>
      <c r="M30" s="22" t="s">
        <v>660</v>
      </c>
      <c r="N30" s="22" t="s">
        <v>660</v>
      </c>
      <c r="O30" s="22" t="s">
        <v>1</v>
      </c>
      <c r="P30" s="22" t="s">
        <v>1</v>
      </c>
      <c r="Q30" s="22" t="s">
        <v>1</v>
      </c>
      <c r="R30" s="22" t="s">
        <v>1</v>
      </c>
      <c r="S30" s="23">
        <v>44865</v>
      </c>
      <c r="T30" s="22">
        <v>10</v>
      </c>
      <c r="U30" s="23">
        <f>IF(AND(S30="",T30="")=TRUE,"",WORKDAY(S30,T30-1,Holidays))</f>
        <v>44876</v>
      </c>
      <c r="V30" s="23">
        <v>44865</v>
      </c>
      <c r="W30" s="22">
        <f t="shared" ca="1" si="1"/>
        <v>10</v>
      </c>
      <c r="X30" s="23">
        <v>44876</v>
      </c>
      <c r="Y30" s="30">
        <v>1</v>
      </c>
      <c r="Z30" s="22" t="str">
        <f t="shared" si="3"/>
        <v>Completed</v>
      </c>
    </row>
    <row r="31" spans="2:26" ht="17.100000000000001" customHeight="1">
      <c r="B31" s="18">
        <v>3</v>
      </c>
      <c r="C31" s="31" t="s">
        <v>658</v>
      </c>
      <c r="D31" s="19"/>
      <c r="E31" s="19"/>
      <c r="F31" s="19" t="s">
        <v>674</v>
      </c>
      <c r="G31" s="19"/>
      <c r="H31" s="20"/>
      <c r="I31" s="22" t="s">
        <v>1</v>
      </c>
      <c r="J31" s="22" t="s">
        <v>1</v>
      </c>
      <c r="K31" s="22" t="s">
        <v>1</v>
      </c>
      <c r="L31" s="22" t="s">
        <v>1</v>
      </c>
      <c r="M31" s="22" t="s">
        <v>660</v>
      </c>
      <c r="N31" s="22" t="s">
        <v>660</v>
      </c>
      <c r="O31" s="22" t="s">
        <v>660</v>
      </c>
      <c r="P31" s="22" t="s">
        <v>1</v>
      </c>
      <c r="Q31" s="22" t="s">
        <v>1</v>
      </c>
      <c r="R31" s="22" t="s">
        <v>1</v>
      </c>
      <c r="S31" s="23">
        <v>44879</v>
      </c>
      <c r="T31" s="22">
        <v>5</v>
      </c>
      <c r="U31" s="23">
        <f>IF(AND(S31="",T31="")=TRUE,"",WORKDAY(S31,T31-1,Holidays))</f>
        <v>44883</v>
      </c>
      <c r="V31" s="23">
        <v>44879</v>
      </c>
      <c r="W31" s="22">
        <f t="shared" ca="1" si="1"/>
        <v>5</v>
      </c>
      <c r="X31" s="23">
        <v>44883</v>
      </c>
      <c r="Y31" s="30">
        <v>1</v>
      </c>
      <c r="Z31" s="22" t="str">
        <f t="shared" si="3"/>
        <v>Completed</v>
      </c>
    </row>
    <row r="32" spans="2:26" ht="17.100000000000001" customHeight="1">
      <c r="B32" s="18">
        <v>3</v>
      </c>
      <c r="C32" s="31" t="s">
        <v>658</v>
      </c>
      <c r="D32" s="19"/>
      <c r="E32" s="19"/>
      <c r="F32" s="19" t="s">
        <v>675</v>
      </c>
      <c r="G32" s="19"/>
      <c r="H32" s="20"/>
      <c r="I32" s="22" t="s">
        <v>1</v>
      </c>
      <c r="J32" s="22" t="s">
        <v>1</v>
      </c>
      <c r="K32" s="22" t="s">
        <v>1</v>
      </c>
      <c r="L32" s="22" t="s">
        <v>1</v>
      </c>
      <c r="M32" s="22" t="s">
        <v>660</v>
      </c>
      <c r="N32" s="22" t="s">
        <v>660</v>
      </c>
      <c r="O32" s="22" t="s">
        <v>660</v>
      </c>
      <c r="P32" s="22" t="s">
        <v>1</v>
      </c>
      <c r="Q32" s="22" t="s">
        <v>1</v>
      </c>
      <c r="R32" s="22" t="s">
        <v>1</v>
      </c>
      <c r="S32" s="23">
        <v>44886</v>
      </c>
      <c r="T32" s="22">
        <v>5</v>
      </c>
      <c r="U32" s="23">
        <f>IF(AND(S32="",T32="")=TRUE,"",WORKDAY(S32,T32-1,Holidays))</f>
        <v>44890</v>
      </c>
      <c r="V32" s="23">
        <v>44886</v>
      </c>
      <c r="W32" s="22">
        <f t="shared" ca="1" si="1"/>
        <v>5</v>
      </c>
      <c r="X32" s="23">
        <v>44890</v>
      </c>
      <c r="Y32" s="30">
        <v>1</v>
      </c>
      <c r="Z32" s="22" t="str">
        <f t="shared" si="3"/>
        <v>Completed</v>
      </c>
    </row>
    <row r="33" spans="2:26" ht="17.100000000000001" customHeight="1">
      <c r="B33" s="18">
        <v>1</v>
      </c>
      <c r="C33" s="31" t="s">
        <v>655</v>
      </c>
      <c r="D33" s="19" t="s">
        <v>676</v>
      </c>
      <c r="E33" s="19"/>
      <c r="F33" s="19"/>
      <c r="G33" s="19"/>
      <c r="H33" s="20"/>
      <c r="I33" s="22" t="str">
        <f>IF(COUNTIF(I34:I64,"●")&gt;0,"●","")</f>
        <v>●</v>
      </c>
      <c r="J33" s="22" t="str">
        <f t="shared" ref="J33:R33" si="36">IF(COUNTIF(J34:J64,"●")&gt;0,"●","")</f>
        <v>●</v>
      </c>
      <c r="K33" s="22" t="str">
        <f t="shared" si="36"/>
        <v>●</v>
      </c>
      <c r="L33" s="22" t="str">
        <f t="shared" si="36"/>
        <v>●</v>
      </c>
      <c r="M33" s="22" t="str">
        <f t="shared" si="36"/>
        <v/>
      </c>
      <c r="N33" s="22" t="str">
        <f t="shared" si="36"/>
        <v/>
      </c>
      <c r="O33" s="22" t="str">
        <f t="shared" si="36"/>
        <v/>
      </c>
      <c r="P33" s="22" t="str">
        <f t="shared" si="36"/>
        <v/>
      </c>
      <c r="Q33" s="22" t="str">
        <f t="shared" si="36"/>
        <v/>
      </c>
      <c r="R33" s="22" t="str">
        <f t="shared" si="36"/>
        <v/>
      </c>
      <c r="S33" s="23">
        <f>IF(MIN(S34:S64)=0,"",MIN(S34:S64))</f>
        <v>44872</v>
      </c>
      <c r="T33" s="22">
        <f ca="1">IF(AND(S33="",U33="")=TRUE,"",IF(AND(S33&gt;0,U33="")=TRUE,NETWORKDAYS(S33,TODAY(),Holidays),NETWORKDAYS(S33,U33,Holidays)))</f>
        <v>89</v>
      </c>
      <c r="U33" s="23">
        <f>IF(MAX(U34:U64)=0,"",MAX(U34:U64))</f>
        <v>44994</v>
      </c>
      <c r="V33" s="23">
        <f>IF(MIN(V34:V64)=0,"",MIN(V34:V64))</f>
        <v>44872</v>
      </c>
      <c r="W33" s="22">
        <f t="shared" ca="1" si="1"/>
        <v>31</v>
      </c>
      <c r="X33" s="23">
        <f>IF(MAX(X34:X64)=0,"",MAX(X34:X64))</f>
        <v>44914</v>
      </c>
      <c r="Y33" s="30">
        <f>IFERROR(AVERAGE(Y34:Y64),"")</f>
        <v>0.59892473118279521</v>
      </c>
      <c r="Z33" s="22" t="str">
        <f t="shared" si="3"/>
        <v>In-Progress</v>
      </c>
    </row>
    <row r="34" spans="2:26" ht="17.100000000000001" customHeight="1">
      <c r="B34" s="18">
        <v>2</v>
      </c>
      <c r="C34" s="31" t="s">
        <v>655</v>
      </c>
      <c r="D34" s="19"/>
      <c r="E34" s="19" t="s">
        <v>677</v>
      </c>
      <c r="F34" s="19"/>
      <c r="G34" s="19"/>
      <c r="H34" s="20"/>
      <c r="I34" s="22" t="str">
        <f>IF(COUNTIF(I35:I40,"●")&gt;0,"●","")</f>
        <v>●</v>
      </c>
      <c r="J34" s="22" t="str">
        <f t="shared" ref="J34:R34" si="37">IF(COUNTIF(J35:J40,"●")&gt;0,"●","")</f>
        <v>●</v>
      </c>
      <c r="K34" s="22" t="str">
        <f t="shared" si="37"/>
        <v/>
      </c>
      <c r="L34" s="22" t="str">
        <f t="shared" si="37"/>
        <v/>
      </c>
      <c r="M34" s="22" t="str">
        <f t="shared" si="37"/>
        <v/>
      </c>
      <c r="N34" s="22" t="str">
        <f t="shared" si="37"/>
        <v/>
      </c>
      <c r="O34" s="22" t="str">
        <f t="shared" si="37"/>
        <v/>
      </c>
      <c r="P34" s="22" t="str">
        <f t="shared" si="37"/>
        <v/>
      </c>
      <c r="Q34" s="22" t="str">
        <f t="shared" si="37"/>
        <v/>
      </c>
      <c r="R34" s="22" t="str">
        <f t="shared" si="37"/>
        <v/>
      </c>
      <c r="S34" s="23">
        <f>IF(MIN(S35:S40)=0,"",MIN(S35:S40))</f>
        <v>44872</v>
      </c>
      <c r="T34" s="22">
        <f ca="1">IF(AND(S34="",U34="")=TRUE,"",IF(AND(S34&gt;0,U34="")=TRUE,NETWORKDAYS(S34,TODAY(),Holidays),NETWORKDAYS(S34,U34,Holidays)))</f>
        <v>24</v>
      </c>
      <c r="U34" s="23">
        <f>IF(MAX(U35:U40)=0,"",MAX(U35:U40))</f>
        <v>44903</v>
      </c>
      <c r="V34" s="23">
        <f>IF(MIN(V35:V40)=0,"",MIN(V35:V40))</f>
        <v>44872</v>
      </c>
      <c r="W34" s="22">
        <f t="shared" ca="1" si="1"/>
        <v>24</v>
      </c>
      <c r="X34" s="23">
        <f>IF(MAX(X35:X40)=0,"",MAX(X35:X40))</f>
        <v>44903</v>
      </c>
      <c r="Y34" s="30">
        <f>IFERROR(AVERAGE(Y35:Y40),"")</f>
        <v>1</v>
      </c>
      <c r="Z34" s="22" t="str">
        <f t="shared" si="3"/>
        <v>Completed</v>
      </c>
    </row>
    <row r="35" spans="2:26" ht="17.100000000000001" customHeight="1">
      <c r="B35" s="18">
        <v>3</v>
      </c>
      <c r="C35" s="31" t="s">
        <v>658</v>
      </c>
      <c r="D35" s="19"/>
      <c r="E35" s="19"/>
      <c r="F35" s="19" t="s">
        <v>678</v>
      </c>
      <c r="G35" s="19"/>
      <c r="H35" s="20"/>
      <c r="I35" s="22" t="s">
        <v>660</v>
      </c>
      <c r="J35" s="22" t="s">
        <v>660</v>
      </c>
      <c r="K35" s="22" t="s">
        <v>1</v>
      </c>
      <c r="L35" s="22" t="s">
        <v>1</v>
      </c>
      <c r="M35" s="22" t="s">
        <v>1</v>
      </c>
      <c r="N35" s="22" t="s">
        <v>1</v>
      </c>
      <c r="O35" s="22" t="s">
        <v>1</v>
      </c>
      <c r="P35" s="22" t="s">
        <v>1</v>
      </c>
      <c r="Q35" s="22" t="s">
        <v>1</v>
      </c>
      <c r="R35" s="22" t="s">
        <v>1</v>
      </c>
      <c r="S35" s="23">
        <v>44872</v>
      </c>
      <c r="T35" s="22">
        <v>4</v>
      </c>
      <c r="U35" s="23">
        <f t="shared" ref="U35:U40" si="38">IF(AND(S35="",T35="")=TRUE,"",WORKDAY(S35,T35-1,Holidays))</f>
        <v>44875</v>
      </c>
      <c r="V35" s="23">
        <v>44872</v>
      </c>
      <c r="W35" s="22">
        <f t="shared" ca="1" si="1"/>
        <v>4</v>
      </c>
      <c r="X35" s="23">
        <v>44875</v>
      </c>
      <c r="Y35" s="30">
        <v>1</v>
      </c>
      <c r="Z35" s="22" t="str">
        <f t="shared" si="3"/>
        <v>Completed</v>
      </c>
    </row>
    <row r="36" spans="2:26" ht="17.100000000000001" customHeight="1">
      <c r="B36" s="18">
        <v>3</v>
      </c>
      <c r="C36" s="31" t="s">
        <v>658</v>
      </c>
      <c r="D36" s="19"/>
      <c r="E36" s="19"/>
      <c r="F36" s="19" t="s">
        <v>679</v>
      </c>
      <c r="G36" s="19"/>
      <c r="H36" s="20"/>
      <c r="I36" s="22" t="s">
        <v>660</v>
      </c>
      <c r="J36" s="22" t="s">
        <v>660</v>
      </c>
      <c r="K36" s="22" t="s">
        <v>1</v>
      </c>
      <c r="L36" s="22" t="s">
        <v>1</v>
      </c>
      <c r="M36" s="22" t="s">
        <v>1</v>
      </c>
      <c r="N36" s="22" t="s">
        <v>1</v>
      </c>
      <c r="O36" s="22" t="s">
        <v>1</v>
      </c>
      <c r="P36" s="22" t="s">
        <v>1</v>
      </c>
      <c r="Q36" s="22" t="s">
        <v>1</v>
      </c>
      <c r="R36" s="22" t="s">
        <v>1</v>
      </c>
      <c r="S36" s="23">
        <v>44876</v>
      </c>
      <c r="T36" s="22">
        <v>4</v>
      </c>
      <c r="U36" s="23">
        <f t="shared" si="38"/>
        <v>44881</v>
      </c>
      <c r="V36" s="23">
        <v>44876</v>
      </c>
      <c r="W36" s="22">
        <f t="shared" ca="1" si="1"/>
        <v>4</v>
      </c>
      <c r="X36" s="23">
        <v>44881</v>
      </c>
      <c r="Y36" s="30">
        <v>1</v>
      </c>
      <c r="Z36" s="22" t="str">
        <f t="shared" si="3"/>
        <v>Completed</v>
      </c>
    </row>
    <row r="37" spans="2:26" ht="17.100000000000001" customHeight="1">
      <c r="B37" s="18">
        <v>3</v>
      </c>
      <c r="C37" s="31" t="s">
        <v>658</v>
      </c>
      <c r="D37" s="19"/>
      <c r="E37" s="19"/>
      <c r="F37" s="19" t="s">
        <v>680</v>
      </c>
      <c r="G37" s="19"/>
      <c r="H37" s="20"/>
      <c r="I37" s="22" t="s">
        <v>660</v>
      </c>
      <c r="J37" s="22" t="s">
        <v>660</v>
      </c>
      <c r="K37" s="22" t="s">
        <v>1</v>
      </c>
      <c r="L37" s="22" t="s">
        <v>1</v>
      </c>
      <c r="M37" s="22" t="s">
        <v>1</v>
      </c>
      <c r="N37" s="22" t="s">
        <v>1</v>
      </c>
      <c r="O37" s="22" t="s">
        <v>1</v>
      </c>
      <c r="P37" s="22" t="s">
        <v>1</v>
      </c>
      <c r="Q37" s="22" t="s">
        <v>1</v>
      </c>
      <c r="R37" s="22" t="s">
        <v>1</v>
      </c>
      <c r="S37" s="23">
        <v>44882</v>
      </c>
      <c r="T37" s="22">
        <v>4</v>
      </c>
      <c r="U37" s="23">
        <f t="shared" si="38"/>
        <v>44887</v>
      </c>
      <c r="V37" s="23">
        <v>44882</v>
      </c>
      <c r="W37" s="22">
        <f t="shared" ca="1" si="1"/>
        <v>4</v>
      </c>
      <c r="X37" s="23">
        <v>44887</v>
      </c>
      <c r="Y37" s="30">
        <v>1</v>
      </c>
      <c r="Z37" s="22" t="str">
        <f t="shared" si="3"/>
        <v>Completed</v>
      </c>
    </row>
    <row r="38" spans="2:26" ht="17.100000000000001" customHeight="1">
      <c r="B38" s="18">
        <v>3</v>
      </c>
      <c r="C38" s="31" t="s">
        <v>658</v>
      </c>
      <c r="D38" s="19"/>
      <c r="E38" s="19"/>
      <c r="F38" s="19" t="s">
        <v>681</v>
      </c>
      <c r="G38" s="19"/>
      <c r="H38" s="20"/>
      <c r="I38" s="22" t="s">
        <v>660</v>
      </c>
      <c r="J38" s="22" t="s">
        <v>660</v>
      </c>
      <c r="K38" s="22" t="s">
        <v>1</v>
      </c>
      <c r="L38" s="22" t="s">
        <v>1</v>
      </c>
      <c r="M38" s="22" t="s">
        <v>1</v>
      </c>
      <c r="N38" s="22" t="s">
        <v>1</v>
      </c>
      <c r="O38" s="22" t="s">
        <v>1</v>
      </c>
      <c r="P38" s="22" t="s">
        <v>1</v>
      </c>
      <c r="Q38" s="22" t="s">
        <v>1</v>
      </c>
      <c r="R38" s="22" t="s">
        <v>1</v>
      </c>
      <c r="S38" s="23">
        <v>44888</v>
      </c>
      <c r="T38" s="22">
        <v>4</v>
      </c>
      <c r="U38" s="23">
        <f t="shared" si="38"/>
        <v>44893</v>
      </c>
      <c r="V38" s="23">
        <v>44888</v>
      </c>
      <c r="W38" s="22">
        <f t="shared" ca="1" si="1"/>
        <v>4</v>
      </c>
      <c r="X38" s="23">
        <v>44893</v>
      </c>
      <c r="Y38" s="30">
        <v>1</v>
      </c>
      <c r="Z38" s="22" t="str">
        <f t="shared" si="3"/>
        <v>Completed</v>
      </c>
    </row>
    <row r="39" spans="2:26" ht="17.100000000000001" customHeight="1">
      <c r="B39" s="18">
        <v>3</v>
      </c>
      <c r="C39" s="31" t="s">
        <v>658</v>
      </c>
      <c r="D39" s="19"/>
      <c r="E39" s="19"/>
      <c r="F39" s="19" t="s">
        <v>682</v>
      </c>
      <c r="G39" s="19"/>
      <c r="H39" s="20"/>
      <c r="I39" s="22" t="s">
        <v>660</v>
      </c>
      <c r="J39" s="22" t="s">
        <v>660</v>
      </c>
      <c r="K39" s="22" t="s">
        <v>1</v>
      </c>
      <c r="L39" s="22" t="s">
        <v>1</v>
      </c>
      <c r="M39" s="22" t="s">
        <v>1</v>
      </c>
      <c r="N39" s="22" t="s">
        <v>1</v>
      </c>
      <c r="O39" s="22" t="s">
        <v>1</v>
      </c>
      <c r="P39" s="22" t="s">
        <v>1</v>
      </c>
      <c r="Q39" s="22" t="s">
        <v>1</v>
      </c>
      <c r="R39" s="22" t="s">
        <v>1</v>
      </c>
      <c r="S39" s="23">
        <v>44894</v>
      </c>
      <c r="T39" s="22">
        <v>4</v>
      </c>
      <c r="U39" s="23">
        <f t="shared" si="38"/>
        <v>44897</v>
      </c>
      <c r="V39" s="23">
        <v>44894</v>
      </c>
      <c r="W39" s="22">
        <f t="shared" ca="1" si="1"/>
        <v>4</v>
      </c>
      <c r="X39" s="23">
        <v>44897</v>
      </c>
      <c r="Y39" s="30">
        <v>1</v>
      </c>
      <c r="Z39" s="22" t="str">
        <f t="shared" si="3"/>
        <v>Completed</v>
      </c>
    </row>
    <row r="40" spans="2:26" ht="17.100000000000001" customHeight="1">
      <c r="B40" s="18">
        <v>3</v>
      </c>
      <c r="C40" s="31" t="s">
        <v>658</v>
      </c>
      <c r="D40" s="19"/>
      <c r="E40" s="19"/>
      <c r="F40" s="19" t="s">
        <v>683</v>
      </c>
      <c r="G40" s="19"/>
      <c r="H40" s="20"/>
      <c r="I40" s="22" t="s">
        <v>660</v>
      </c>
      <c r="J40" s="22" t="s">
        <v>660</v>
      </c>
      <c r="K40" s="22" t="s">
        <v>1</v>
      </c>
      <c r="L40" s="22" t="s">
        <v>1</v>
      </c>
      <c r="M40" s="22" t="s">
        <v>1</v>
      </c>
      <c r="N40" s="22" t="s">
        <v>1</v>
      </c>
      <c r="O40" s="22" t="s">
        <v>1</v>
      </c>
      <c r="P40" s="22" t="s">
        <v>1</v>
      </c>
      <c r="Q40" s="22" t="s">
        <v>1</v>
      </c>
      <c r="R40" s="22" t="s">
        <v>1</v>
      </c>
      <c r="S40" s="23">
        <v>44900</v>
      </c>
      <c r="T40" s="22">
        <v>4</v>
      </c>
      <c r="U40" s="23">
        <f t="shared" si="38"/>
        <v>44903</v>
      </c>
      <c r="V40" s="23">
        <v>44900</v>
      </c>
      <c r="W40" s="22">
        <f t="shared" ca="1" si="1"/>
        <v>4</v>
      </c>
      <c r="X40" s="23">
        <v>44903</v>
      </c>
      <c r="Y40" s="30">
        <v>1</v>
      </c>
      <c r="Z40" s="22" t="str">
        <f t="shared" si="3"/>
        <v>Completed</v>
      </c>
    </row>
    <row r="41" spans="2:26" ht="17.100000000000001" customHeight="1">
      <c r="B41" s="18">
        <v>2</v>
      </c>
      <c r="C41" s="31" t="s">
        <v>655</v>
      </c>
      <c r="D41" s="19"/>
      <c r="E41" s="19" t="s">
        <v>684</v>
      </c>
      <c r="F41" s="19"/>
      <c r="G41" s="19"/>
      <c r="H41" s="20"/>
      <c r="I41" s="22" t="str">
        <f>IF(COUNTIF(I42:I47,"●")&gt;0,"●","")</f>
        <v/>
      </c>
      <c r="J41" s="22" t="str">
        <f t="shared" ref="J41:R41" si="39">IF(COUNTIF(J42:J47,"●")&gt;0,"●","")</f>
        <v>●</v>
      </c>
      <c r="K41" s="22" t="str">
        <f t="shared" si="39"/>
        <v>●</v>
      </c>
      <c r="L41" s="22" t="str">
        <f t="shared" si="39"/>
        <v/>
      </c>
      <c r="M41" s="22" t="str">
        <f t="shared" si="39"/>
        <v/>
      </c>
      <c r="N41" s="22" t="str">
        <f t="shared" si="39"/>
        <v/>
      </c>
      <c r="O41" s="22" t="str">
        <f t="shared" si="39"/>
        <v/>
      </c>
      <c r="P41" s="22" t="str">
        <f t="shared" si="39"/>
        <v/>
      </c>
      <c r="Q41" s="22" t="str">
        <f t="shared" si="39"/>
        <v/>
      </c>
      <c r="R41" s="22" t="str">
        <f t="shared" si="39"/>
        <v/>
      </c>
      <c r="S41" s="23">
        <f>IF(MIN(S42:S47)=0,"",MIN(S42:S47))</f>
        <v>44904</v>
      </c>
      <c r="T41" s="22">
        <f ca="1">IF(AND(S41="",U41="")=TRUE,"",IF(AND(S41&gt;0,U41="")=TRUE,NETWORKDAYS(S41,TODAY(),Holidays),NETWORKDAYS(S41,U41,Holidays)))</f>
        <v>7</v>
      </c>
      <c r="U41" s="23">
        <f>IF(MAX(U42:U47)=0,"",MAX(U42:U47))</f>
        <v>44914</v>
      </c>
      <c r="V41" s="23">
        <f>IF(MIN(V42:V47)=0,"",MIN(V42:V47))</f>
        <v>44904</v>
      </c>
      <c r="W41" s="22">
        <f t="shared" ca="1" si="1"/>
        <v>7</v>
      </c>
      <c r="X41" s="23">
        <f>IF(MAX(X42:X47)=0,"",MAX(X42:X47))</f>
        <v>44914</v>
      </c>
      <c r="Y41" s="30">
        <f>IFERROR(AVERAGE(Y42:Y47),"")</f>
        <v>1</v>
      </c>
      <c r="Z41" s="22" t="str">
        <f t="shared" si="3"/>
        <v>Completed</v>
      </c>
    </row>
    <row r="42" spans="2:26" ht="17.100000000000001" customHeight="1">
      <c r="B42" s="18">
        <v>3</v>
      </c>
      <c r="C42" s="31" t="s">
        <v>658</v>
      </c>
      <c r="D42" s="19"/>
      <c r="E42" s="19"/>
      <c r="F42" s="19" t="s">
        <v>685</v>
      </c>
      <c r="G42" s="19"/>
      <c r="H42" s="20"/>
      <c r="I42" s="22" t="s">
        <v>1</v>
      </c>
      <c r="J42" s="22" t="s">
        <v>1</v>
      </c>
      <c r="K42" s="22" t="s">
        <v>660</v>
      </c>
      <c r="L42" s="22" t="s">
        <v>1</v>
      </c>
      <c r="M42" s="22" t="s">
        <v>1</v>
      </c>
      <c r="N42" s="22" t="s">
        <v>1</v>
      </c>
      <c r="O42" s="22" t="s">
        <v>1</v>
      </c>
      <c r="P42" s="22" t="s">
        <v>1</v>
      </c>
      <c r="Q42" s="22" t="s">
        <v>1</v>
      </c>
      <c r="R42" s="22" t="s">
        <v>1</v>
      </c>
      <c r="S42" s="23">
        <v>44907</v>
      </c>
      <c r="T42" s="22">
        <v>3</v>
      </c>
      <c r="U42" s="23">
        <f t="shared" ref="U42:U47" si="40">IF(AND(S42="",T42="")=TRUE,"",WORKDAY(S42,T42-1,Holidays))</f>
        <v>44909</v>
      </c>
      <c r="V42" s="23">
        <v>44907</v>
      </c>
      <c r="W42" s="22">
        <f t="shared" ca="1" si="1"/>
        <v>3</v>
      </c>
      <c r="X42" s="23">
        <v>44909</v>
      </c>
      <c r="Y42" s="30">
        <v>1</v>
      </c>
      <c r="Z42" s="22" t="str">
        <f t="shared" si="3"/>
        <v>Completed</v>
      </c>
    </row>
    <row r="43" spans="2:26" ht="17.100000000000001" customHeight="1">
      <c r="B43" s="18">
        <v>3</v>
      </c>
      <c r="C43" s="31" t="s">
        <v>658</v>
      </c>
      <c r="D43" s="19"/>
      <c r="E43" s="19"/>
      <c r="F43" s="19" t="s">
        <v>686</v>
      </c>
      <c r="G43" s="19"/>
      <c r="H43" s="20"/>
      <c r="I43" s="22" t="s">
        <v>1</v>
      </c>
      <c r="J43" s="22" t="s">
        <v>1</v>
      </c>
      <c r="K43" s="22" t="s">
        <v>660</v>
      </c>
      <c r="L43" s="22" t="s">
        <v>1</v>
      </c>
      <c r="M43" s="22" t="s">
        <v>1</v>
      </c>
      <c r="N43" s="22" t="s">
        <v>1</v>
      </c>
      <c r="O43" s="22" t="s">
        <v>1</v>
      </c>
      <c r="P43" s="22" t="s">
        <v>1</v>
      </c>
      <c r="Q43" s="22" t="s">
        <v>1</v>
      </c>
      <c r="R43" s="22" t="s">
        <v>1</v>
      </c>
      <c r="S43" s="23">
        <v>44910</v>
      </c>
      <c r="T43" s="22">
        <v>3</v>
      </c>
      <c r="U43" s="23">
        <f t="shared" si="40"/>
        <v>44914</v>
      </c>
      <c r="V43" s="23">
        <v>44910</v>
      </c>
      <c r="W43" s="22">
        <f t="shared" ca="1" si="1"/>
        <v>3</v>
      </c>
      <c r="X43" s="23">
        <v>44914</v>
      </c>
      <c r="Y43" s="30">
        <v>1</v>
      </c>
      <c r="Z43" s="22" t="str">
        <f t="shared" si="3"/>
        <v>Completed</v>
      </c>
    </row>
    <row r="44" spans="2:26" ht="17.100000000000001" customHeight="1">
      <c r="B44" s="18">
        <v>3</v>
      </c>
      <c r="C44" s="31" t="s">
        <v>658</v>
      </c>
      <c r="D44" s="19"/>
      <c r="E44" s="19"/>
      <c r="F44" s="19" t="s">
        <v>687</v>
      </c>
      <c r="G44" s="19"/>
      <c r="H44" s="20"/>
      <c r="I44" s="22" t="s">
        <v>1</v>
      </c>
      <c r="J44" s="22" t="s">
        <v>660</v>
      </c>
      <c r="K44" s="22" t="s">
        <v>1</v>
      </c>
      <c r="L44" s="22" t="s">
        <v>1</v>
      </c>
      <c r="M44" s="22" t="s">
        <v>1</v>
      </c>
      <c r="N44" s="22" t="s">
        <v>1</v>
      </c>
      <c r="O44" s="22" t="s">
        <v>1</v>
      </c>
      <c r="P44" s="22" t="s">
        <v>1</v>
      </c>
      <c r="Q44" s="22" t="s">
        <v>1</v>
      </c>
      <c r="R44" s="22" t="s">
        <v>1</v>
      </c>
      <c r="S44" s="23">
        <v>44904</v>
      </c>
      <c r="T44" s="22">
        <v>4</v>
      </c>
      <c r="U44" s="23">
        <f t="shared" si="40"/>
        <v>44909</v>
      </c>
      <c r="V44" s="23">
        <v>44904</v>
      </c>
      <c r="W44" s="22">
        <f t="shared" ca="1" si="1"/>
        <v>4</v>
      </c>
      <c r="X44" s="23">
        <v>44909</v>
      </c>
      <c r="Y44" s="30">
        <v>1</v>
      </c>
      <c r="Z44" s="22" t="str">
        <f t="shared" si="3"/>
        <v>Completed</v>
      </c>
    </row>
    <row r="45" spans="2:26" ht="17.100000000000001" customHeight="1">
      <c r="B45" s="18">
        <v>3</v>
      </c>
      <c r="C45" s="31" t="s">
        <v>658</v>
      </c>
      <c r="D45" s="19"/>
      <c r="E45" s="19"/>
      <c r="F45" s="19" t="s">
        <v>688</v>
      </c>
      <c r="G45" s="19"/>
      <c r="H45" s="20"/>
      <c r="I45" s="22" t="s">
        <v>1</v>
      </c>
      <c r="J45" s="22" t="s">
        <v>1</v>
      </c>
      <c r="K45" s="22" t="s">
        <v>1</v>
      </c>
      <c r="L45" s="22" t="s">
        <v>1</v>
      </c>
      <c r="M45" s="22" t="s">
        <v>1</v>
      </c>
      <c r="N45" s="22" t="s">
        <v>1</v>
      </c>
      <c r="O45" s="22" t="s">
        <v>1</v>
      </c>
      <c r="P45" s="22" t="s">
        <v>1</v>
      </c>
      <c r="Q45" s="22" t="s">
        <v>1</v>
      </c>
      <c r="R45" s="22" t="s">
        <v>1</v>
      </c>
      <c r="S45" s="23">
        <v>44904</v>
      </c>
      <c r="T45" s="22">
        <v>4</v>
      </c>
      <c r="U45" s="23">
        <f t="shared" si="40"/>
        <v>44909</v>
      </c>
      <c r="V45" s="23">
        <v>44904</v>
      </c>
      <c r="W45" s="22">
        <f t="shared" ca="1" si="1"/>
        <v>4</v>
      </c>
      <c r="X45" s="23">
        <v>44909</v>
      </c>
      <c r="Y45" s="30">
        <v>1</v>
      </c>
      <c r="Z45" s="22" t="str">
        <f t="shared" si="3"/>
        <v>Completed</v>
      </c>
    </row>
    <row r="46" spans="2:26" ht="17.100000000000001" customHeight="1">
      <c r="B46" s="18">
        <v>3</v>
      </c>
      <c r="C46" s="31" t="s">
        <v>658</v>
      </c>
      <c r="D46" s="19"/>
      <c r="E46" s="19"/>
      <c r="F46" s="19" t="s">
        <v>689</v>
      </c>
      <c r="G46" s="19"/>
      <c r="H46" s="20"/>
      <c r="I46" s="22" t="s">
        <v>1</v>
      </c>
      <c r="J46" s="22" t="s">
        <v>1</v>
      </c>
      <c r="K46" s="22" t="s">
        <v>1</v>
      </c>
      <c r="L46" s="22" t="s">
        <v>1</v>
      </c>
      <c r="M46" s="22" t="s">
        <v>1</v>
      </c>
      <c r="N46" s="22" t="s">
        <v>1</v>
      </c>
      <c r="O46" s="22" t="s">
        <v>1</v>
      </c>
      <c r="P46" s="22" t="s">
        <v>1</v>
      </c>
      <c r="Q46" s="22" t="s">
        <v>1</v>
      </c>
      <c r="R46" s="22" t="s">
        <v>1</v>
      </c>
      <c r="S46" s="23">
        <v>44910</v>
      </c>
      <c r="T46" s="22">
        <v>3</v>
      </c>
      <c r="U46" s="23">
        <f t="shared" si="40"/>
        <v>44914</v>
      </c>
      <c r="V46" s="23">
        <v>44910</v>
      </c>
      <c r="W46" s="22">
        <f t="shared" ca="1" si="1"/>
        <v>3</v>
      </c>
      <c r="X46" s="23">
        <v>44914</v>
      </c>
      <c r="Y46" s="30">
        <v>1</v>
      </c>
      <c r="Z46" s="22" t="str">
        <f t="shared" si="3"/>
        <v>Completed</v>
      </c>
    </row>
    <row r="47" spans="2:26" ht="17.100000000000001" customHeight="1">
      <c r="B47" s="18">
        <v>3</v>
      </c>
      <c r="C47" s="31" t="s">
        <v>658</v>
      </c>
      <c r="D47" s="19"/>
      <c r="E47" s="19"/>
      <c r="F47" s="19" t="s">
        <v>690</v>
      </c>
      <c r="G47" s="19"/>
      <c r="H47" s="20"/>
      <c r="I47" s="22" t="s">
        <v>1</v>
      </c>
      <c r="J47" s="22" t="s">
        <v>660</v>
      </c>
      <c r="K47" s="22" t="s">
        <v>1</v>
      </c>
      <c r="L47" s="22" t="s">
        <v>1</v>
      </c>
      <c r="M47" s="22" t="s">
        <v>1</v>
      </c>
      <c r="N47" s="22" t="s">
        <v>1</v>
      </c>
      <c r="O47" s="22" t="s">
        <v>1</v>
      </c>
      <c r="P47" s="22" t="s">
        <v>1</v>
      </c>
      <c r="Q47" s="22" t="s">
        <v>1</v>
      </c>
      <c r="R47" s="22" t="s">
        <v>1</v>
      </c>
      <c r="S47" s="23">
        <v>44910</v>
      </c>
      <c r="T47" s="22">
        <v>3</v>
      </c>
      <c r="U47" s="23">
        <f t="shared" si="40"/>
        <v>44914</v>
      </c>
      <c r="V47" s="23">
        <v>44910</v>
      </c>
      <c r="W47" s="22">
        <f t="shared" ref="W47:W78" ca="1" si="41">IF(AND(V47="",X47="")=TRUE,"",IF(AND(V47&gt;0,X47="")=TRUE,NETWORKDAYS(V47,TODAY(),Holidays),NETWORKDAYS(V47,X47,Holidays)))</f>
        <v>3</v>
      </c>
      <c r="X47" s="23">
        <v>44914</v>
      </c>
      <c r="Y47" s="30">
        <v>1</v>
      </c>
      <c r="Z47" s="22" t="str">
        <f t="shared" si="3"/>
        <v>Completed</v>
      </c>
    </row>
    <row r="48" spans="2:26" ht="17.100000000000001" customHeight="1">
      <c r="B48" s="18">
        <v>2</v>
      </c>
      <c r="C48" s="31" t="s">
        <v>655</v>
      </c>
      <c r="D48" s="19"/>
      <c r="E48" s="19" t="s">
        <v>691</v>
      </c>
      <c r="F48" s="19"/>
      <c r="G48" s="19"/>
      <c r="H48" s="20"/>
      <c r="I48" s="22" t="str">
        <f>IF(COUNTIF(I49:I54,"●")&gt;0,"●","")</f>
        <v/>
      </c>
      <c r="J48" s="22" t="str">
        <f t="shared" ref="J48:R48" si="42">IF(COUNTIF(J49:J54,"●")&gt;0,"●","")</f>
        <v>●</v>
      </c>
      <c r="K48" s="22" t="str">
        <f t="shared" si="42"/>
        <v>●</v>
      </c>
      <c r="L48" s="22" t="str">
        <f t="shared" si="42"/>
        <v>●</v>
      </c>
      <c r="M48" s="22" t="str">
        <f t="shared" si="42"/>
        <v/>
      </c>
      <c r="N48" s="22" t="str">
        <f t="shared" si="42"/>
        <v/>
      </c>
      <c r="O48" s="22" t="str">
        <f t="shared" si="42"/>
        <v/>
      </c>
      <c r="P48" s="22" t="str">
        <f t="shared" si="42"/>
        <v/>
      </c>
      <c r="Q48" s="22" t="str">
        <f t="shared" si="42"/>
        <v/>
      </c>
      <c r="R48" s="22" t="str">
        <f t="shared" si="42"/>
        <v/>
      </c>
      <c r="S48" s="23">
        <f>IF(MIN(S49:S54)=0,"",MIN(S49:S54))</f>
        <v>44915</v>
      </c>
      <c r="T48" s="22">
        <f ca="1">IF(AND(S48="",U48="")=TRUE,"",IF(AND(S48&gt;0,U48="")=TRUE,NETWORKDAYS(S48,TODAY(),Holidays),NETWORKDAYS(S48,U48,Holidays)))</f>
        <v>20</v>
      </c>
      <c r="U48" s="23">
        <f>IF(MAX(U49:U54)=0,"",MAX(U49:U54))</f>
        <v>44942</v>
      </c>
      <c r="V48" s="23">
        <f>IF(MIN(V49:V54)=0,"",MIN(V49:V54))</f>
        <v>44915</v>
      </c>
      <c r="W48" s="22">
        <f t="shared" ca="1" si="41"/>
        <v>376</v>
      </c>
      <c r="X48" s="23" t="str">
        <f>IF(MAX(X49:X54)=0,"",MAX(X49:X54))</f>
        <v/>
      </c>
      <c r="Y48" s="30">
        <f>IFERROR(AVERAGE(Y49:Y54),"")</f>
        <v>0.41666666666666669</v>
      </c>
      <c r="Z48" s="22" t="str">
        <f t="shared" si="3"/>
        <v>In-Progress</v>
      </c>
    </row>
    <row r="49" spans="2:26" ht="17.100000000000001" customHeight="1">
      <c r="B49" s="18">
        <v>3</v>
      </c>
      <c r="C49" s="31" t="s">
        <v>658</v>
      </c>
      <c r="D49" s="19"/>
      <c r="E49" s="19"/>
      <c r="F49" s="19" t="s">
        <v>692</v>
      </c>
      <c r="G49" s="19"/>
      <c r="H49" s="20"/>
      <c r="I49" s="22" t="s">
        <v>1</v>
      </c>
      <c r="J49" s="22" t="s">
        <v>1</v>
      </c>
      <c r="K49" s="22" t="s">
        <v>1</v>
      </c>
      <c r="L49" s="22" t="s">
        <v>660</v>
      </c>
      <c r="M49" s="22" t="s">
        <v>1</v>
      </c>
      <c r="N49" s="22" t="s">
        <v>1</v>
      </c>
      <c r="O49" s="22" t="s">
        <v>1</v>
      </c>
      <c r="P49" s="22" t="s">
        <v>1</v>
      </c>
      <c r="Q49" s="22" t="s">
        <v>1</v>
      </c>
      <c r="R49" s="22" t="s">
        <v>1</v>
      </c>
      <c r="S49" s="23">
        <v>44915</v>
      </c>
      <c r="T49" s="22">
        <v>10</v>
      </c>
      <c r="U49" s="23">
        <f t="shared" ref="U49:U54" si="43">IF(AND(S49="",T49="")=TRUE,"",WORKDAY(S49,T49-1,Holidays))</f>
        <v>44928</v>
      </c>
      <c r="V49" s="23">
        <v>44915</v>
      </c>
      <c r="W49" s="22">
        <f t="shared" ca="1" si="41"/>
        <v>376</v>
      </c>
      <c r="X49" s="23"/>
      <c r="Y49" s="30">
        <v>0.5</v>
      </c>
      <c r="Z49" s="22" t="str">
        <f t="shared" si="3"/>
        <v>In-Progress</v>
      </c>
    </row>
    <row r="50" spans="2:26" ht="17.100000000000001" customHeight="1">
      <c r="B50" s="18">
        <v>3</v>
      </c>
      <c r="C50" s="31" t="s">
        <v>658</v>
      </c>
      <c r="D50" s="19"/>
      <c r="E50" s="19"/>
      <c r="F50" s="19" t="s">
        <v>693</v>
      </c>
      <c r="G50" s="19"/>
      <c r="H50" s="20"/>
      <c r="I50" s="22" t="s">
        <v>1</v>
      </c>
      <c r="J50" s="22" t="s">
        <v>1</v>
      </c>
      <c r="K50" s="22" t="s">
        <v>660</v>
      </c>
      <c r="L50" s="22" t="s">
        <v>1</v>
      </c>
      <c r="M50" s="22" t="s">
        <v>1</v>
      </c>
      <c r="N50" s="22" t="s">
        <v>1</v>
      </c>
      <c r="O50" s="22" t="s">
        <v>1</v>
      </c>
      <c r="P50" s="22" t="s">
        <v>1</v>
      </c>
      <c r="Q50" s="22" t="s">
        <v>1</v>
      </c>
      <c r="R50" s="22" t="s">
        <v>1</v>
      </c>
      <c r="S50" s="23">
        <v>44915</v>
      </c>
      <c r="T50" s="22">
        <v>10</v>
      </c>
      <c r="U50" s="23">
        <f t="shared" si="43"/>
        <v>44928</v>
      </c>
      <c r="V50" s="23">
        <v>44915</v>
      </c>
      <c r="W50" s="22">
        <f t="shared" ca="1" si="41"/>
        <v>376</v>
      </c>
      <c r="X50" s="23"/>
      <c r="Y50" s="30">
        <v>0.4</v>
      </c>
      <c r="Z50" s="22" t="str">
        <f t="shared" si="3"/>
        <v>In-Progress</v>
      </c>
    </row>
    <row r="51" spans="2:26" ht="17.100000000000001" customHeight="1">
      <c r="B51" s="18">
        <v>3</v>
      </c>
      <c r="C51" s="31" t="s">
        <v>658</v>
      </c>
      <c r="D51" s="19"/>
      <c r="E51" s="19"/>
      <c r="F51" s="19" t="s">
        <v>694</v>
      </c>
      <c r="G51" s="19"/>
      <c r="H51" s="20"/>
      <c r="I51" s="22" t="s">
        <v>1</v>
      </c>
      <c r="J51" s="22" t="s">
        <v>660</v>
      </c>
      <c r="K51" s="22" t="s">
        <v>1</v>
      </c>
      <c r="L51" s="22" t="s">
        <v>1</v>
      </c>
      <c r="M51" s="22" t="s">
        <v>1</v>
      </c>
      <c r="N51" s="22" t="s">
        <v>1</v>
      </c>
      <c r="O51" s="22" t="s">
        <v>1</v>
      </c>
      <c r="P51" s="22" t="s">
        <v>1</v>
      </c>
      <c r="Q51" s="22" t="s">
        <v>1</v>
      </c>
      <c r="R51" s="22" t="s">
        <v>1</v>
      </c>
      <c r="S51" s="23">
        <v>44915</v>
      </c>
      <c r="T51" s="22">
        <v>10</v>
      </c>
      <c r="U51" s="23">
        <f t="shared" si="43"/>
        <v>44928</v>
      </c>
      <c r="V51" s="23">
        <v>44915</v>
      </c>
      <c r="W51" s="22">
        <f t="shared" ca="1" si="41"/>
        <v>376</v>
      </c>
      <c r="X51" s="23"/>
      <c r="Y51" s="30">
        <v>0.4</v>
      </c>
      <c r="Z51" s="22" t="str">
        <f t="shared" si="3"/>
        <v>In-Progress</v>
      </c>
    </row>
    <row r="52" spans="2:26" ht="17.100000000000001" customHeight="1">
      <c r="B52" s="18">
        <v>3</v>
      </c>
      <c r="C52" s="31" t="s">
        <v>658</v>
      </c>
      <c r="D52" s="19"/>
      <c r="E52" s="19"/>
      <c r="F52" s="19" t="s">
        <v>695</v>
      </c>
      <c r="G52" s="19"/>
      <c r="H52" s="20"/>
      <c r="I52" s="22" t="s">
        <v>1</v>
      </c>
      <c r="J52" s="22" t="s">
        <v>1</v>
      </c>
      <c r="K52" s="22" t="s">
        <v>1</v>
      </c>
      <c r="L52" s="22" t="s">
        <v>660</v>
      </c>
      <c r="M52" s="22" t="s">
        <v>1</v>
      </c>
      <c r="N52" s="22" t="s">
        <v>1</v>
      </c>
      <c r="O52" s="22" t="s">
        <v>1</v>
      </c>
      <c r="P52" s="22" t="s">
        <v>1</v>
      </c>
      <c r="Q52" s="22" t="s">
        <v>1</v>
      </c>
      <c r="R52" s="22" t="s">
        <v>1</v>
      </c>
      <c r="S52" s="23">
        <v>44929</v>
      </c>
      <c r="T52" s="22">
        <v>10</v>
      </c>
      <c r="U52" s="23">
        <f t="shared" si="43"/>
        <v>44942</v>
      </c>
      <c r="V52" s="23">
        <v>44929</v>
      </c>
      <c r="W52" s="22">
        <f t="shared" ca="1" si="41"/>
        <v>366</v>
      </c>
      <c r="X52" s="23"/>
      <c r="Y52" s="30">
        <v>0.4</v>
      </c>
      <c r="Z52" s="22" t="str">
        <f t="shared" si="3"/>
        <v>In-Progress</v>
      </c>
    </row>
    <row r="53" spans="2:26" ht="17.100000000000001" customHeight="1">
      <c r="B53" s="18">
        <v>3</v>
      </c>
      <c r="C53" s="31" t="s">
        <v>658</v>
      </c>
      <c r="D53" s="19"/>
      <c r="E53" s="19"/>
      <c r="F53" s="19" t="s">
        <v>696</v>
      </c>
      <c r="G53" s="19"/>
      <c r="H53" s="20"/>
      <c r="I53" s="22" t="s">
        <v>1</v>
      </c>
      <c r="J53" s="22" t="s">
        <v>1</v>
      </c>
      <c r="K53" s="22" t="s">
        <v>660</v>
      </c>
      <c r="L53" s="22" t="s">
        <v>1</v>
      </c>
      <c r="M53" s="22" t="s">
        <v>1</v>
      </c>
      <c r="N53" s="22" t="s">
        <v>1</v>
      </c>
      <c r="O53" s="22" t="s">
        <v>1</v>
      </c>
      <c r="P53" s="22" t="s">
        <v>1</v>
      </c>
      <c r="Q53" s="22" t="s">
        <v>1</v>
      </c>
      <c r="R53" s="22" t="s">
        <v>1</v>
      </c>
      <c r="S53" s="23">
        <v>44929</v>
      </c>
      <c r="T53" s="22">
        <v>10</v>
      </c>
      <c r="U53" s="23">
        <f t="shared" si="43"/>
        <v>44942</v>
      </c>
      <c r="V53" s="23">
        <v>44929</v>
      </c>
      <c r="W53" s="22">
        <f t="shared" ca="1" si="41"/>
        <v>366</v>
      </c>
      <c r="X53" s="23"/>
      <c r="Y53" s="30">
        <v>0.4</v>
      </c>
      <c r="Z53" s="22" t="str">
        <f t="shared" si="3"/>
        <v>In-Progress</v>
      </c>
    </row>
    <row r="54" spans="2:26" ht="17.100000000000001" customHeight="1">
      <c r="B54" s="18">
        <v>3</v>
      </c>
      <c r="C54" s="31" t="s">
        <v>658</v>
      </c>
      <c r="D54" s="19"/>
      <c r="E54" s="19"/>
      <c r="F54" s="19" t="s">
        <v>697</v>
      </c>
      <c r="G54" s="19"/>
      <c r="H54" s="20"/>
      <c r="I54" s="22" t="s">
        <v>1</v>
      </c>
      <c r="J54" s="22" t="s">
        <v>660</v>
      </c>
      <c r="K54" s="22" t="s">
        <v>1</v>
      </c>
      <c r="L54" s="22" t="s">
        <v>1</v>
      </c>
      <c r="M54" s="22" t="s">
        <v>1</v>
      </c>
      <c r="N54" s="22" t="s">
        <v>1</v>
      </c>
      <c r="O54" s="22" t="s">
        <v>1</v>
      </c>
      <c r="P54" s="22" t="s">
        <v>1</v>
      </c>
      <c r="Q54" s="22" t="s">
        <v>1</v>
      </c>
      <c r="R54" s="22" t="s">
        <v>1</v>
      </c>
      <c r="S54" s="23">
        <v>44929</v>
      </c>
      <c r="T54" s="22">
        <v>10</v>
      </c>
      <c r="U54" s="23">
        <f t="shared" si="43"/>
        <v>44942</v>
      </c>
      <c r="V54" s="23">
        <v>44929</v>
      </c>
      <c r="W54" s="22">
        <f t="shared" ca="1" si="41"/>
        <v>366</v>
      </c>
      <c r="X54" s="23"/>
      <c r="Y54" s="30">
        <v>0.4</v>
      </c>
      <c r="Z54" s="22" t="str">
        <f t="shared" si="3"/>
        <v>In-Progress</v>
      </c>
    </row>
    <row r="55" spans="2:26" ht="17.100000000000001" customHeight="1">
      <c r="B55" s="18">
        <v>2</v>
      </c>
      <c r="C55" s="31" t="s">
        <v>655</v>
      </c>
      <c r="D55" s="19"/>
      <c r="E55" s="19" t="s">
        <v>698</v>
      </c>
      <c r="F55" s="19"/>
      <c r="G55" s="19"/>
      <c r="H55" s="20"/>
      <c r="I55" s="22" t="str">
        <f t="shared" ref="I55" si="44">IF(COUNTIF(I56:I57,"●")&gt;0,"●","")</f>
        <v/>
      </c>
      <c r="J55" s="22" t="str">
        <f t="shared" ref="J55" si="45">IF(COUNTIF(J56:J57,"●")&gt;0,"●","")</f>
        <v>●</v>
      </c>
      <c r="K55" s="22" t="str">
        <f t="shared" ref="K55" si="46">IF(COUNTIF(K56:K57,"●")&gt;0,"●","")</f>
        <v>●</v>
      </c>
      <c r="L55" s="22" t="str">
        <f t="shared" ref="L55" si="47">IF(COUNTIF(L56:L57,"●")&gt;0,"●","")</f>
        <v>●</v>
      </c>
      <c r="M55" s="22" t="str">
        <f t="shared" ref="M55" si="48">IF(COUNTIF(M56:M57,"●")&gt;0,"●","")</f>
        <v/>
      </c>
      <c r="N55" s="22" t="str">
        <f t="shared" ref="N55" si="49">IF(COUNTIF(N56:N57,"●")&gt;0,"●","")</f>
        <v/>
      </c>
      <c r="O55" s="22" t="str">
        <f t="shared" ref="O55" si="50">IF(COUNTIF(O56:O57,"●")&gt;0,"●","")</f>
        <v/>
      </c>
      <c r="P55" s="22" t="str">
        <f t="shared" ref="P55" si="51">IF(COUNTIF(P56:P57,"●")&gt;0,"●","")</f>
        <v/>
      </c>
      <c r="Q55" s="22" t="str">
        <f t="shared" ref="Q55" si="52">IF(COUNTIF(Q56:Q57,"●")&gt;0,"●","")</f>
        <v/>
      </c>
      <c r="R55" s="22" t="str">
        <f t="shared" ref="R55" si="53">IF(COUNTIF(R56:R57,"●")&gt;0,"●","")</f>
        <v/>
      </c>
      <c r="S55" s="23">
        <f>IF(MIN(S56:S57)=0,"",MIN(S56:S57))</f>
        <v>44943</v>
      </c>
      <c r="T55" s="22">
        <f ca="1">IF(AND(S55="",U55="")=TRUE,"",IF(AND(S55&gt;0,U55="")=TRUE,NETWORKDAYS(S55,TODAY(),Holidays),NETWORKDAYS(S55,U55,Holidays)))</f>
        <v>30</v>
      </c>
      <c r="U55" s="23">
        <f>IF(MAX(U56:U57)=0,"",MAX(U56:U57))</f>
        <v>44984</v>
      </c>
      <c r="V55" s="23">
        <f>IF(MIN(V56:V57)=0,"",MIN(V56:V57))</f>
        <v>44929</v>
      </c>
      <c r="W55" s="22">
        <f t="shared" ca="1" si="41"/>
        <v>366</v>
      </c>
      <c r="X55" s="23" t="str">
        <f>IF(MAX(X56:X61)=0,"",MAX(X56:X61))</f>
        <v/>
      </c>
      <c r="Y55" s="30">
        <f>IFERROR(AVERAGE(Y56:Y57),"")</f>
        <v>0.2</v>
      </c>
      <c r="Z55" s="22" t="str">
        <f t="shared" si="3"/>
        <v>In-Progress</v>
      </c>
    </row>
    <row r="56" spans="2:26" ht="17.100000000000001" customHeight="1">
      <c r="B56" s="18">
        <v>3</v>
      </c>
      <c r="C56" s="31" t="s">
        <v>658</v>
      </c>
      <c r="D56" s="19"/>
      <c r="E56" s="19"/>
      <c r="F56" s="19" t="s">
        <v>699</v>
      </c>
      <c r="G56" s="19"/>
      <c r="H56" s="20"/>
      <c r="I56" s="22" t="s">
        <v>1</v>
      </c>
      <c r="J56" s="22" t="s">
        <v>660</v>
      </c>
      <c r="K56" s="22" t="s">
        <v>660</v>
      </c>
      <c r="L56" s="22" t="s">
        <v>660</v>
      </c>
      <c r="M56" s="22" t="s">
        <v>1</v>
      </c>
      <c r="N56" s="22" t="s">
        <v>1</v>
      </c>
      <c r="O56" s="22" t="s">
        <v>1</v>
      </c>
      <c r="P56" s="22" t="s">
        <v>1</v>
      </c>
      <c r="Q56" s="22" t="s">
        <v>1</v>
      </c>
      <c r="R56" s="22" t="s">
        <v>1</v>
      </c>
      <c r="S56" s="23">
        <v>44943</v>
      </c>
      <c r="T56" s="22">
        <v>15</v>
      </c>
      <c r="U56" s="23">
        <f>IF(AND(S56="",T56="")=TRUE,"",WORKDAY(S56,T56-1,Holidays))</f>
        <v>44963</v>
      </c>
      <c r="V56" s="23">
        <v>44943</v>
      </c>
      <c r="W56" s="22">
        <f t="shared" ca="1" si="41"/>
        <v>356</v>
      </c>
      <c r="X56" s="23"/>
      <c r="Y56" s="30">
        <v>0.2</v>
      </c>
      <c r="Z56" s="22" t="str">
        <f t="shared" si="3"/>
        <v>In-Progress</v>
      </c>
    </row>
    <row r="57" spans="2:26" ht="17.100000000000001" customHeight="1">
      <c r="B57" s="18">
        <v>3</v>
      </c>
      <c r="C57" s="31" t="s">
        <v>658</v>
      </c>
      <c r="D57" s="19"/>
      <c r="E57" s="19"/>
      <c r="F57" s="19" t="s">
        <v>700</v>
      </c>
      <c r="G57" s="19"/>
      <c r="H57" s="20"/>
      <c r="I57" s="22" t="s">
        <v>1</v>
      </c>
      <c r="J57" s="22" t="s">
        <v>660</v>
      </c>
      <c r="K57" s="22" t="s">
        <v>660</v>
      </c>
      <c r="L57" s="22" t="s">
        <v>660</v>
      </c>
      <c r="M57" s="22" t="s">
        <v>1</v>
      </c>
      <c r="N57" s="22" t="s">
        <v>1</v>
      </c>
      <c r="O57" s="22" t="s">
        <v>1</v>
      </c>
      <c r="P57" s="22" t="s">
        <v>1</v>
      </c>
      <c r="Q57" s="22" t="s">
        <v>1</v>
      </c>
      <c r="R57" s="22" t="s">
        <v>1</v>
      </c>
      <c r="S57" s="23">
        <v>44964</v>
      </c>
      <c r="T57" s="22">
        <v>15</v>
      </c>
      <c r="U57" s="23">
        <f>IF(AND(S57="",T57="")=TRUE,"",WORKDAY(S57,T57-1,Holidays))</f>
        <v>44984</v>
      </c>
      <c r="V57" s="23">
        <v>44929</v>
      </c>
      <c r="W57" s="22">
        <f t="shared" ca="1" si="41"/>
        <v>366</v>
      </c>
      <c r="X57" s="23"/>
      <c r="Y57" s="30">
        <v>0.2</v>
      </c>
      <c r="Z57" s="22" t="str">
        <f t="shared" si="3"/>
        <v>In-Progress</v>
      </c>
    </row>
    <row r="58" spans="2:26" ht="17.100000000000001" customHeight="1">
      <c r="B58" s="18">
        <v>2</v>
      </c>
      <c r="C58" s="31" t="s">
        <v>655</v>
      </c>
      <c r="D58" s="19"/>
      <c r="E58" s="19" t="s">
        <v>701</v>
      </c>
      <c r="F58" s="19"/>
      <c r="G58" s="19"/>
      <c r="H58" s="20"/>
      <c r="I58" s="22" t="str">
        <f>IF(COUNTIF(I59:I64,"●")&gt;0,"●","")</f>
        <v/>
      </c>
      <c r="J58" s="22" t="str">
        <f t="shared" ref="J58:R58" si="54">IF(COUNTIF(J59:J64,"●")&gt;0,"●","")</f>
        <v>●</v>
      </c>
      <c r="K58" s="22" t="str">
        <f t="shared" si="54"/>
        <v>●</v>
      </c>
      <c r="L58" s="22" t="str">
        <f t="shared" si="54"/>
        <v>●</v>
      </c>
      <c r="M58" s="22" t="str">
        <f t="shared" si="54"/>
        <v/>
      </c>
      <c r="N58" s="22" t="str">
        <f t="shared" si="54"/>
        <v/>
      </c>
      <c r="O58" s="22" t="str">
        <f t="shared" si="54"/>
        <v/>
      </c>
      <c r="P58" s="22" t="str">
        <f t="shared" si="54"/>
        <v/>
      </c>
      <c r="Q58" s="22" t="str">
        <f t="shared" si="54"/>
        <v/>
      </c>
      <c r="R58" s="22" t="str">
        <f t="shared" si="54"/>
        <v/>
      </c>
      <c r="S58" s="23">
        <f>IF(MIN(S59:S64)=0,"",MIN(S59:S64))</f>
        <v>44985</v>
      </c>
      <c r="T58" s="22">
        <f ca="1">IF(AND(S58="",U58="")=TRUE,"",IF(AND(S58&gt;0,U58="")=TRUE,NETWORKDAYS(S58,TODAY(),Holidays),NETWORKDAYS(S58,U58,Holidays)))</f>
        <v>8</v>
      </c>
      <c r="U58" s="23">
        <f>IF(MAX(U59:U64)=0,"",MAX(U59:U64))</f>
        <v>44994</v>
      </c>
      <c r="V58" s="23">
        <f>IF(MIN(V59:V64)=0,"",MIN(V59:V64))</f>
        <v>44929</v>
      </c>
      <c r="W58" s="22">
        <f t="shared" ca="1" si="41"/>
        <v>366</v>
      </c>
      <c r="X58" s="23" t="str">
        <f>IF(MAX(X59:X64)=0,"",MAX(X59:X64))</f>
        <v/>
      </c>
      <c r="Y58" s="30">
        <f>IFERROR(AVERAGE(Y59:Y64),"")</f>
        <v>0.15</v>
      </c>
      <c r="Z58" s="22" t="str">
        <f t="shared" si="3"/>
        <v>In-Progress</v>
      </c>
    </row>
    <row r="59" spans="2:26" ht="17.100000000000001" customHeight="1">
      <c r="B59" s="18">
        <v>3</v>
      </c>
      <c r="C59" s="31" t="s">
        <v>658</v>
      </c>
      <c r="D59" s="19"/>
      <c r="E59" s="19"/>
      <c r="F59" s="19" t="s">
        <v>702</v>
      </c>
      <c r="G59" s="19"/>
      <c r="H59" s="20"/>
      <c r="I59" s="22" t="s">
        <v>1</v>
      </c>
      <c r="J59" s="22" t="s">
        <v>660</v>
      </c>
      <c r="K59" s="22" t="s">
        <v>660</v>
      </c>
      <c r="L59" s="22" t="s">
        <v>660</v>
      </c>
      <c r="M59" s="22" t="s">
        <v>1</v>
      </c>
      <c r="N59" s="22" t="s">
        <v>1</v>
      </c>
      <c r="O59" s="22" t="s">
        <v>1</v>
      </c>
      <c r="P59" s="22" t="s">
        <v>1</v>
      </c>
      <c r="Q59" s="22" t="s">
        <v>1</v>
      </c>
      <c r="R59" s="22" t="s">
        <v>1</v>
      </c>
      <c r="S59" s="23">
        <v>44985</v>
      </c>
      <c r="T59" s="22">
        <v>8</v>
      </c>
      <c r="U59" s="23">
        <f t="shared" ref="U59:U64" si="55">IF(AND(S59="",T59="")=TRUE,"",WORKDAY(S59,T59-1,Holidays))</f>
        <v>44994</v>
      </c>
      <c r="V59" s="23">
        <v>44929</v>
      </c>
      <c r="W59" s="22">
        <f t="shared" ca="1" si="41"/>
        <v>366</v>
      </c>
      <c r="X59" s="23"/>
      <c r="Y59" s="30">
        <v>0.15</v>
      </c>
      <c r="Z59" s="22" t="str">
        <f t="shared" si="3"/>
        <v>In-Progress</v>
      </c>
    </row>
    <row r="60" spans="2:26" ht="17.100000000000001" customHeight="1">
      <c r="B60" s="18">
        <v>3</v>
      </c>
      <c r="C60" s="31" t="s">
        <v>658</v>
      </c>
      <c r="D60" s="19"/>
      <c r="E60" s="19"/>
      <c r="F60" s="19" t="s">
        <v>703</v>
      </c>
      <c r="G60" s="19"/>
      <c r="H60" s="20"/>
      <c r="I60" s="22" t="s">
        <v>1</v>
      </c>
      <c r="J60" s="22" t="s">
        <v>660</v>
      </c>
      <c r="K60" s="22" t="s">
        <v>660</v>
      </c>
      <c r="L60" s="22" t="s">
        <v>660</v>
      </c>
      <c r="M60" s="22" t="s">
        <v>1</v>
      </c>
      <c r="N60" s="22" t="s">
        <v>1</v>
      </c>
      <c r="O60" s="22" t="s">
        <v>1</v>
      </c>
      <c r="P60" s="22" t="s">
        <v>1</v>
      </c>
      <c r="Q60" s="22" t="s">
        <v>1</v>
      </c>
      <c r="R60" s="22" t="s">
        <v>1</v>
      </c>
      <c r="S60" s="23">
        <v>44985</v>
      </c>
      <c r="T60" s="22">
        <v>8</v>
      </c>
      <c r="U60" s="23">
        <f t="shared" si="55"/>
        <v>44994</v>
      </c>
      <c r="V60" s="23">
        <v>44929</v>
      </c>
      <c r="W60" s="22">
        <f t="shared" ca="1" si="41"/>
        <v>366</v>
      </c>
      <c r="X60" s="23"/>
      <c r="Y60" s="30">
        <v>0.15</v>
      </c>
      <c r="Z60" s="22" t="str">
        <f t="shared" si="3"/>
        <v>In-Progress</v>
      </c>
    </row>
    <row r="61" spans="2:26" ht="17.100000000000001" customHeight="1">
      <c r="B61" s="18">
        <v>3</v>
      </c>
      <c r="C61" s="31" t="s">
        <v>658</v>
      </c>
      <c r="D61" s="19"/>
      <c r="E61" s="19"/>
      <c r="F61" s="19" t="s">
        <v>704</v>
      </c>
      <c r="G61" s="19"/>
      <c r="H61" s="20"/>
      <c r="I61" s="22" t="s">
        <v>1</v>
      </c>
      <c r="J61" s="22" t="s">
        <v>660</v>
      </c>
      <c r="K61" s="22" t="s">
        <v>660</v>
      </c>
      <c r="L61" s="22" t="s">
        <v>660</v>
      </c>
      <c r="M61" s="22" t="s">
        <v>1</v>
      </c>
      <c r="N61" s="22" t="s">
        <v>1</v>
      </c>
      <c r="O61" s="22" t="s">
        <v>1</v>
      </c>
      <c r="P61" s="22" t="s">
        <v>1</v>
      </c>
      <c r="Q61" s="22" t="s">
        <v>1</v>
      </c>
      <c r="R61" s="22" t="s">
        <v>1</v>
      </c>
      <c r="S61" s="23">
        <v>44985</v>
      </c>
      <c r="T61" s="22">
        <v>8</v>
      </c>
      <c r="U61" s="23">
        <f t="shared" si="55"/>
        <v>44994</v>
      </c>
      <c r="V61" s="23">
        <v>44929</v>
      </c>
      <c r="W61" s="22">
        <f t="shared" ca="1" si="41"/>
        <v>366</v>
      </c>
      <c r="X61" s="23"/>
      <c r="Y61" s="30">
        <v>0.15</v>
      </c>
      <c r="Z61" s="22" t="str">
        <f t="shared" si="3"/>
        <v>In-Progress</v>
      </c>
    </row>
    <row r="62" spans="2:26" ht="17.100000000000001" customHeight="1">
      <c r="B62" s="18">
        <v>3</v>
      </c>
      <c r="C62" s="31" t="s">
        <v>658</v>
      </c>
      <c r="D62" s="19"/>
      <c r="E62" s="19"/>
      <c r="F62" s="19" t="s">
        <v>705</v>
      </c>
      <c r="G62" s="19"/>
      <c r="H62" s="20"/>
      <c r="I62" s="22" t="s">
        <v>1</v>
      </c>
      <c r="J62" s="22" t="s">
        <v>660</v>
      </c>
      <c r="K62" s="22" t="s">
        <v>660</v>
      </c>
      <c r="L62" s="22" t="s">
        <v>660</v>
      </c>
      <c r="M62" s="22" t="s">
        <v>1</v>
      </c>
      <c r="N62" s="22" t="s">
        <v>1</v>
      </c>
      <c r="O62" s="22" t="s">
        <v>1</v>
      </c>
      <c r="P62" s="22" t="s">
        <v>1</v>
      </c>
      <c r="Q62" s="22" t="s">
        <v>1</v>
      </c>
      <c r="R62" s="22" t="s">
        <v>1</v>
      </c>
      <c r="S62" s="23">
        <v>44985</v>
      </c>
      <c r="T62" s="22">
        <v>8</v>
      </c>
      <c r="U62" s="23">
        <f t="shared" si="55"/>
        <v>44994</v>
      </c>
      <c r="V62" s="23">
        <v>44929</v>
      </c>
      <c r="W62" s="22">
        <f t="shared" ca="1" si="41"/>
        <v>366</v>
      </c>
      <c r="X62" s="23"/>
      <c r="Y62" s="30">
        <v>0.15</v>
      </c>
      <c r="Z62" s="22" t="str">
        <f t="shared" si="3"/>
        <v>In-Progress</v>
      </c>
    </row>
    <row r="63" spans="2:26" ht="17.100000000000001" customHeight="1">
      <c r="B63" s="18">
        <v>3</v>
      </c>
      <c r="C63" s="31" t="s">
        <v>658</v>
      </c>
      <c r="D63" s="19"/>
      <c r="E63" s="19"/>
      <c r="F63" s="19" t="s">
        <v>706</v>
      </c>
      <c r="G63" s="19"/>
      <c r="H63" s="20"/>
      <c r="I63" s="22" t="s">
        <v>1</v>
      </c>
      <c r="J63" s="22" t="s">
        <v>660</v>
      </c>
      <c r="K63" s="22" t="s">
        <v>660</v>
      </c>
      <c r="L63" s="22" t="s">
        <v>660</v>
      </c>
      <c r="M63" s="22" t="s">
        <v>1</v>
      </c>
      <c r="N63" s="22" t="s">
        <v>1</v>
      </c>
      <c r="O63" s="22" t="s">
        <v>1</v>
      </c>
      <c r="P63" s="22" t="s">
        <v>1</v>
      </c>
      <c r="Q63" s="22" t="s">
        <v>1</v>
      </c>
      <c r="R63" s="22" t="s">
        <v>1</v>
      </c>
      <c r="S63" s="23">
        <v>44985</v>
      </c>
      <c r="T63" s="22">
        <v>8</v>
      </c>
      <c r="U63" s="23">
        <f t="shared" si="55"/>
        <v>44994</v>
      </c>
      <c r="V63" s="23">
        <v>44929</v>
      </c>
      <c r="W63" s="22">
        <f t="shared" ca="1" si="41"/>
        <v>366</v>
      </c>
      <c r="X63" s="23"/>
      <c r="Y63" s="30">
        <v>0.15</v>
      </c>
      <c r="Z63" s="22" t="str">
        <f t="shared" si="3"/>
        <v>In-Progress</v>
      </c>
    </row>
    <row r="64" spans="2:26" ht="17.100000000000001" customHeight="1">
      <c r="B64" s="18">
        <v>3</v>
      </c>
      <c r="C64" s="31" t="s">
        <v>658</v>
      </c>
      <c r="D64" s="19"/>
      <c r="E64" s="19"/>
      <c r="F64" s="19" t="s">
        <v>707</v>
      </c>
      <c r="G64" s="19"/>
      <c r="H64" s="20"/>
      <c r="I64" s="22" t="s">
        <v>1</v>
      </c>
      <c r="J64" s="22" t="s">
        <v>660</v>
      </c>
      <c r="K64" s="22" t="s">
        <v>660</v>
      </c>
      <c r="L64" s="22" t="s">
        <v>660</v>
      </c>
      <c r="M64" s="22" t="s">
        <v>1</v>
      </c>
      <c r="N64" s="22" t="s">
        <v>1</v>
      </c>
      <c r="O64" s="22" t="s">
        <v>1</v>
      </c>
      <c r="P64" s="22" t="s">
        <v>1</v>
      </c>
      <c r="Q64" s="22" t="s">
        <v>1</v>
      </c>
      <c r="R64" s="22" t="s">
        <v>1</v>
      </c>
      <c r="S64" s="23">
        <v>44985</v>
      </c>
      <c r="T64" s="22">
        <v>8</v>
      </c>
      <c r="U64" s="23">
        <f t="shared" si="55"/>
        <v>44994</v>
      </c>
      <c r="V64" s="23">
        <v>44929</v>
      </c>
      <c r="W64" s="22">
        <f t="shared" ca="1" si="41"/>
        <v>366</v>
      </c>
      <c r="X64" s="23"/>
      <c r="Y64" s="30">
        <v>0.15</v>
      </c>
      <c r="Z64" s="22" t="str">
        <f t="shared" si="3"/>
        <v>In-Progress</v>
      </c>
    </row>
    <row r="65" spans="2:26" ht="17.100000000000001" customHeight="1">
      <c r="B65" s="18">
        <v>1</v>
      </c>
      <c r="C65" s="31" t="s">
        <v>655</v>
      </c>
      <c r="D65" s="19" t="s">
        <v>708</v>
      </c>
      <c r="E65" s="19"/>
      <c r="F65" s="19"/>
      <c r="G65" s="19"/>
      <c r="H65" s="20"/>
      <c r="I65" s="22" t="str">
        <f>IF(COUNTIF(I66:I152,"●")&gt;0,"●","")</f>
        <v/>
      </c>
      <c r="J65" s="22" t="str">
        <f t="shared" ref="J65:R65" si="56">IF(COUNTIF(J66:J152,"●")&gt;0,"●","")</f>
        <v/>
      </c>
      <c r="K65" s="22" t="str">
        <f t="shared" si="56"/>
        <v/>
      </c>
      <c r="L65" s="22" t="str">
        <f t="shared" si="56"/>
        <v/>
      </c>
      <c r="M65" s="22" t="str">
        <f t="shared" si="56"/>
        <v>●</v>
      </c>
      <c r="N65" s="22" t="str">
        <f t="shared" si="56"/>
        <v>●</v>
      </c>
      <c r="O65" s="22" t="str">
        <f t="shared" si="56"/>
        <v>●</v>
      </c>
      <c r="P65" s="22" t="str">
        <f t="shared" si="56"/>
        <v>●</v>
      </c>
      <c r="Q65" s="22" t="str">
        <f t="shared" si="56"/>
        <v>●</v>
      </c>
      <c r="R65" s="22" t="str">
        <f t="shared" si="56"/>
        <v>●</v>
      </c>
      <c r="S65" s="23">
        <f>IF(MIN(S66:S152)=0,"",MIN(S66:S152))</f>
        <v>44893</v>
      </c>
      <c r="T65" s="22">
        <f ca="1">IF(AND(S65="",U65="")=TRUE,"",IF(AND(S65&gt;0,U65="")=TRUE,NETWORKDAYS(S65,TODAY(),Holidays),NETWORKDAYS(S65,U65,Holidays)))</f>
        <v>76</v>
      </c>
      <c r="U65" s="23">
        <f>IF(MAX(U66:U152)=0,"",MAX(U66:U152))</f>
        <v>44998</v>
      </c>
      <c r="V65" s="23">
        <f>IF(MIN(V66:V152)=0,"",MIN(V66:V152))</f>
        <v>44893</v>
      </c>
      <c r="W65" s="22">
        <f t="shared" ca="1" si="41"/>
        <v>39</v>
      </c>
      <c r="X65" s="23">
        <f>IF(MAX(X66:X152)=0,"",MAX(X66:X152))</f>
        <v>44945</v>
      </c>
      <c r="Y65" s="30">
        <f>IFERROR(AVERAGE(Y66:Y152),"")</f>
        <v>0.39103721948549541</v>
      </c>
      <c r="Z65" s="22" t="str">
        <f t="shared" si="3"/>
        <v>In-Progress</v>
      </c>
    </row>
    <row r="66" spans="2:26" ht="17.100000000000001" customHeight="1">
      <c r="B66" s="18">
        <v>2</v>
      </c>
      <c r="C66" s="31" t="s">
        <v>655</v>
      </c>
      <c r="D66" s="19"/>
      <c r="E66" s="19" t="s">
        <v>709</v>
      </c>
      <c r="F66" s="19"/>
      <c r="G66" s="19"/>
      <c r="H66" s="20"/>
      <c r="I66" s="22" t="str">
        <f>IF(COUNTIF(I67:I74,"●")&gt;0,"●","")</f>
        <v/>
      </c>
      <c r="J66" s="22" t="str">
        <f t="shared" ref="J66:R66" si="57">IF(COUNTIF(J67:J74,"●")&gt;0,"●","")</f>
        <v/>
      </c>
      <c r="K66" s="22" t="str">
        <f t="shared" si="57"/>
        <v/>
      </c>
      <c r="L66" s="22" t="str">
        <f t="shared" si="57"/>
        <v/>
      </c>
      <c r="M66" s="22" t="str">
        <f t="shared" si="57"/>
        <v/>
      </c>
      <c r="N66" s="22" t="str">
        <f t="shared" si="57"/>
        <v/>
      </c>
      <c r="O66" s="22" t="str">
        <f t="shared" si="57"/>
        <v>●</v>
      </c>
      <c r="P66" s="22" t="str">
        <f t="shared" si="57"/>
        <v/>
      </c>
      <c r="Q66" s="22" t="str">
        <f t="shared" si="57"/>
        <v>●</v>
      </c>
      <c r="R66" s="22" t="str">
        <f t="shared" si="57"/>
        <v/>
      </c>
      <c r="S66" s="23">
        <f>IF(MIN(S67:S74)=0,"",MIN(S67:S74))</f>
        <v>44977</v>
      </c>
      <c r="T66" s="22">
        <f ca="1">IF(AND(S66="",U66="")=TRUE,"",IF(AND(S66&gt;0,U66="")=TRUE,NETWORKDAYS(S66,TODAY(),Holidays),NETWORKDAYS(S66,U66,Holidays)))</f>
        <v>16</v>
      </c>
      <c r="U66" s="23">
        <f>IF(MAX(U67:U74)=0,"",MAX(U67:U74))</f>
        <v>44998</v>
      </c>
      <c r="V66" s="23" t="str">
        <f>IF(MIN(V67:V74)=0,"",MIN(V67:V74))</f>
        <v/>
      </c>
      <c r="W66" s="22" t="str">
        <f t="shared" ca="1" si="41"/>
        <v/>
      </c>
      <c r="X66" s="23" t="str">
        <f>IF(MAX(X67:X74)=0,"",MAX(X67:X74))</f>
        <v/>
      </c>
      <c r="Y66" s="30">
        <f>IFERROR(AVERAGE(Y67:Y74),"")</f>
        <v>0</v>
      </c>
      <c r="Z66" s="22" t="str">
        <f t="shared" si="3"/>
        <v>Open</v>
      </c>
    </row>
    <row r="67" spans="2:26" ht="17.100000000000001" customHeight="1">
      <c r="B67" s="18">
        <v>3</v>
      </c>
      <c r="C67" s="31" t="s">
        <v>655</v>
      </c>
      <c r="D67" s="19"/>
      <c r="E67" s="19"/>
      <c r="F67" s="19" t="s">
        <v>710</v>
      </c>
      <c r="G67" s="19"/>
      <c r="H67" s="20"/>
      <c r="I67" s="22" t="str">
        <f>IF(COUNTIF(I68:I70,"●")&gt;0,"●","")</f>
        <v/>
      </c>
      <c r="J67" s="22" t="str">
        <f t="shared" ref="J67:R67" si="58">IF(COUNTIF(J68:J70,"●")&gt;0,"●","")</f>
        <v/>
      </c>
      <c r="K67" s="22" t="str">
        <f t="shared" si="58"/>
        <v/>
      </c>
      <c r="L67" s="22" t="str">
        <f t="shared" si="58"/>
        <v/>
      </c>
      <c r="M67" s="22" t="str">
        <f t="shared" si="58"/>
        <v/>
      </c>
      <c r="N67" s="22" t="str">
        <f t="shared" si="58"/>
        <v/>
      </c>
      <c r="O67" s="22" t="str">
        <f t="shared" si="58"/>
        <v>●</v>
      </c>
      <c r="P67" s="22" t="str">
        <f t="shared" si="58"/>
        <v/>
      </c>
      <c r="Q67" s="22" t="str">
        <f t="shared" si="58"/>
        <v/>
      </c>
      <c r="R67" s="22" t="str">
        <f t="shared" si="58"/>
        <v/>
      </c>
      <c r="S67" s="23">
        <f>IF(MIN(S68:S70)=0,"",MIN(S68:S70))</f>
        <v>44977</v>
      </c>
      <c r="T67" s="22">
        <f ca="1">IF(AND(S67="",U67="")=TRUE,"",IF(AND(S67&gt;0,U67="")=TRUE,NETWORKDAYS(S67,TODAY(),Holidays),NETWORKDAYS(S67,U67,Holidays)))</f>
        <v>16</v>
      </c>
      <c r="U67" s="23">
        <f>IF(MAX(U68:U70)=0,"",MAX(U68:U70))</f>
        <v>44998</v>
      </c>
      <c r="V67" s="23" t="str">
        <f>IF(MIN(V68:V70)=0,"",MIN(V68:V70))</f>
        <v/>
      </c>
      <c r="W67" s="22" t="str">
        <f t="shared" ca="1" si="41"/>
        <v/>
      </c>
      <c r="X67" s="23" t="str">
        <f>IF(MAX(X68:X70)=0,"",MAX(X68:X70))</f>
        <v/>
      </c>
      <c r="Y67" s="30">
        <f>IFERROR(AVERAGE(Y68:Y70),"")</f>
        <v>0</v>
      </c>
      <c r="Z67" s="22" t="str">
        <f t="shared" si="3"/>
        <v>Open</v>
      </c>
    </row>
    <row r="68" spans="2:26" ht="17.100000000000001" customHeight="1">
      <c r="B68" s="18">
        <v>4</v>
      </c>
      <c r="C68" s="31" t="s">
        <v>658</v>
      </c>
      <c r="D68" s="19"/>
      <c r="E68" s="19"/>
      <c r="F68" s="19"/>
      <c r="G68" s="19" t="s">
        <v>711</v>
      </c>
      <c r="H68" s="20"/>
      <c r="I68" s="22"/>
      <c r="J68" s="22"/>
      <c r="K68" s="22"/>
      <c r="L68" s="22"/>
      <c r="M68" s="22"/>
      <c r="N68" s="22"/>
      <c r="O68" s="22" t="s">
        <v>660</v>
      </c>
      <c r="P68" s="22"/>
      <c r="Q68" s="22"/>
      <c r="R68" s="22"/>
      <c r="S68" s="23">
        <v>44977</v>
      </c>
      <c r="T68" s="22">
        <v>5</v>
      </c>
      <c r="U68" s="23">
        <f>IF(AND(S68="",T68="")=TRUE,"",WORKDAY(S68,T68-1,Holidays))</f>
        <v>44981</v>
      </c>
      <c r="V68" s="23"/>
      <c r="W68" s="22" t="str">
        <f t="shared" ca="1" si="41"/>
        <v/>
      </c>
      <c r="X68" s="23"/>
      <c r="Y68" s="30">
        <v>0</v>
      </c>
      <c r="Z68" s="22" t="str">
        <f t="shared" si="3"/>
        <v>Open</v>
      </c>
    </row>
    <row r="69" spans="2:26" ht="17.100000000000001" customHeight="1">
      <c r="B69" s="18">
        <v>4</v>
      </c>
      <c r="C69" s="31" t="s">
        <v>658</v>
      </c>
      <c r="D69" s="19"/>
      <c r="E69" s="19"/>
      <c r="F69" s="19"/>
      <c r="G69" s="19" t="s">
        <v>712</v>
      </c>
      <c r="H69" s="20"/>
      <c r="I69" s="22"/>
      <c r="J69" s="22"/>
      <c r="K69" s="22"/>
      <c r="L69" s="22"/>
      <c r="M69" s="22"/>
      <c r="N69" s="22"/>
      <c r="O69" s="22" t="s">
        <v>660</v>
      </c>
      <c r="P69" s="22"/>
      <c r="Q69" s="22"/>
      <c r="R69" s="22"/>
      <c r="S69" s="23">
        <v>44984</v>
      </c>
      <c r="T69" s="22">
        <v>5</v>
      </c>
      <c r="U69" s="23">
        <f>IF(AND(S69="",T69="")=TRUE,"",WORKDAY(S69,T69-1,Holidays))</f>
        <v>44988</v>
      </c>
      <c r="V69" s="23"/>
      <c r="W69" s="22" t="str">
        <f t="shared" ca="1" si="41"/>
        <v/>
      </c>
      <c r="X69" s="23"/>
      <c r="Y69" s="30">
        <v>0</v>
      </c>
      <c r="Z69" s="22" t="str">
        <f t="shared" si="3"/>
        <v>Open</v>
      </c>
    </row>
    <row r="70" spans="2:26" ht="17.100000000000001" customHeight="1">
      <c r="B70" s="18">
        <v>4</v>
      </c>
      <c r="C70" s="31" t="s">
        <v>658</v>
      </c>
      <c r="D70" s="19"/>
      <c r="E70" s="19"/>
      <c r="F70" s="19"/>
      <c r="G70" s="19" t="s">
        <v>713</v>
      </c>
      <c r="H70" s="20"/>
      <c r="I70" s="22"/>
      <c r="J70" s="22"/>
      <c r="K70" s="22"/>
      <c r="L70" s="22"/>
      <c r="M70" s="22"/>
      <c r="N70" s="22"/>
      <c r="O70" s="22" t="s">
        <v>660</v>
      </c>
      <c r="P70" s="22"/>
      <c r="Q70" s="22"/>
      <c r="R70" s="22"/>
      <c r="S70" s="23">
        <v>44992</v>
      </c>
      <c r="T70" s="22">
        <v>5</v>
      </c>
      <c r="U70" s="23">
        <f>IF(AND(S70="",T70="")=TRUE,"",WORKDAY(S70,T70-1,Holidays))</f>
        <v>44998</v>
      </c>
      <c r="V70" s="23"/>
      <c r="W70" s="22" t="str">
        <f t="shared" ca="1" si="41"/>
        <v/>
      </c>
      <c r="X70" s="23"/>
      <c r="Y70" s="30">
        <v>0</v>
      </c>
      <c r="Z70" s="22" t="str">
        <f t="shared" si="3"/>
        <v>Open</v>
      </c>
    </row>
    <row r="71" spans="2:26" ht="17.100000000000001" customHeight="1">
      <c r="B71" s="18">
        <v>3</v>
      </c>
      <c r="C71" s="31" t="s">
        <v>655</v>
      </c>
      <c r="D71" s="19"/>
      <c r="E71" s="19"/>
      <c r="F71" s="19" t="s">
        <v>714</v>
      </c>
      <c r="G71" s="19"/>
      <c r="H71" s="20"/>
      <c r="I71" s="22" t="str">
        <f>IF(COUNTIF(I72:I74,"●")&gt;0,"●","")</f>
        <v/>
      </c>
      <c r="J71" s="22" t="str">
        <f t="shared" ref="J71:R71" si="59">IF(COUNTIF(J72:J74,"●")&gt;0,"●","")</f>
        <v/>
      </c>
      <c r="K71" s="22" t="str">
        <f t="shared" si="59"/>
        <v/>
      </c>
      <c r="L71" s="22" t="str">
        <f t="shared" si="59"/>
        <v/>
      </c>
      <c r="M71" s="22" t="str">
        <f t="shared" si="59"/>
        <v/>
      </c>
      <c r="N71" s="22" t="str">
        <f t="shared" si="59"/>
        <v/>
      </c>
      <c r="O71" s="22" t="str">
        <f t="shared" si="59"/>
        <v/>
      </c>
      <c r="P71" s="22" t="str">
        <f t="shared" si="59"/>
        <v/>
      </c>
      <c r="Q71" s="22" t="str">
        <f t="shared" si="59"/>
        <v>●</v>
      </c>
      <c r="R71" s="22" t="str">
        <f t="shared" si="59"/>
        <v/>
      </c>
      <c r="S71" s="23">
        <f>IF(MIN(S72:S74)=0,"",MIN(S72:S74))</f>
        <v>44977</v>
      </c>
      <c r="T71" s="22">
        <f ca="1">IF(AND(S71="",U71="")=TRUE,"",IF(AND(S71&gt;0,U71="")=TRUE,NETWORKDAYS(S71,TODAY(),Holidays),NETWORKDAYS(S71,U71,Holidays)))</f>
        <v>16</v>
      </c>
      <c r="U71" s="23">
        <f>IF(MAX(U72:U74)=0,"",MAX(U72:U74))</f>
        <v>44998</v>
      </c>
      <c r="V71" s="23" t="str">
        <f>IF(MIN(V72:V74)=0,"",MIN(V72:V74))</f>
        <v/>
      </c>
      <c r="W71" s="22" t="str">
        <f t="shared" ca="1" si="41"/>
        <v/>
      </c>
      <c r="X71" s="23" t="str">
        <f>IF(MAX(X72:X74)=0,"",MAX(X72:X74))</f>
        <v/>
      </c>
      <c r="Y71" s="30">
        <f>IFERROR(AVERAGE(Y72:Y74),"")</f>
        <v>0</v>
      </c>
      <c r="Z71" s="22" t="str">
        <f t="shared" si="3"/>
        <v>Open</v>
      </c>
    </row>
    <row r="72" spans="2:26" ht="17.100000000000001" customHeight="1">
      <c r="B72" s="18">
        <v>4</v>
      </c>
      <c r="C72" s="31" t="s">
        <v>658</v>
      </c>
      <c r="D72" s="19"/>
      <c r="E72" s="19"/>
      <c r="F72" s="19"/>
      <c r="G72" s="19" t="s">
        <v>715</v>
      </c>
      <c r="H72" s="20"/>
      <c r="I72" s="22"/>
      <c r="J72" s="22"/>
      <c r="K72" s="22"/>
      <c r="L72" s="22"/>
      <c r="M72" s="22"/>
      <c r="N72" s="22"/>
      <c r="O72" s="22"/>
      <c r="P72" s="22"/>
      <c r="Q72" s="22" t="s">
        <v>660</v>
      </c>
      <c r="R72" s="22"/>
      <c r="S72" s="23">
        <v>44977</v>
      </c>
      <c r="T72" s="22">
        <v>5</v>
      </c>
      <c r="U72" s="23">
        <f>IF(AND(S72="",T72="")=TRUE,"",WORKDAY(S72,T72-1,Holidays))</f>
        <v>44981</v>
      </c>
      <c r="V72" s="23"/>
      <c r="W72" s="22" t="str">
        <f t="shared" ca="1" si="41"/>
        <v/>
      </c>
      <c r="X72" s="23"/>
      <c r="Y72" s="30">
        <v>0</v>
      </c>
      <c r="Z72" s="22" t="str">
        <f t="shared" si="3"/>
        <v>Open</v>
      </c>
    </row>
    <row r="73" spans="2:26" ht="17.100000000000001" customHeight="1">
      <c r="B73" s="18">
        <v>4</v>
      </c>
      <c r="C73" s="31" t="s">
        <v>658</v>
      </c>
      <c r="D73" s="19"/>
      <c r="E73" s="19"/>
      <c r="F73" s="19"/>
      <c r="G73" s="19" t="s">
        <v>716</v>
      </c>
      <c r="H73" s="20"/>
      <c r="I73" s="22"/>
      <c r="J73" s="22"/>
      <c r="K73" s="22"/>
      <c r="L73" s="22"/>
      <c r="M73" s="22"/>
      <c r="N73" s="22"/>
      <c r="O73" s="22"/>
      <c r="P73" s="22"/>
      <c r="Q73" s="22" t="s">
        <v>660</v>
      </c>
      <c r="R73" s="22"/>
      <c r="S73" s="23">
        <v>44984</v>
      </c>
      <c r="T73" s="22">
        <v>5</v>
      </c>
      <c r="U73" s="23">
        <f>IF(AND(S73="",T73="")=TRUE,"",WORKDAY(S73,T73-1,Holidays))</f>
        <v>44988</v>
      </c>
      <c r="V73" s="23"/>
      <c r="W73" s="22" t="str">
        <f t="shared" ca="1" si="41"/>
        <v/>
      </c>
      <c r="X73" s="23"/>
      <c r="Y73" s="30">
        <v>0</v>
      </c>
      <c r="Z73" s="22" t="str">
        <f t="shared" si="3"/>
        <v>Open</v>
      </c>
    </row>
    <row r="74" spans="2:26" ht="17.100000000000001" customHeight="1">
      <c r="B74" s="18">
        <v>4</v>
      </c>
      <c r="C74" s="31" t="s">
        <v>658</v>
      </c>
      <c r="D74" s="19"/>
      <c r="E74" s="19"/>
      <c r="F74" s="19"/>
      <c r="G74" s="19" t="s">
        <v>717</v>
      </c>
      <c r="H74" s="20"/>
      <c r="I74" s="22"/>
      <c r="J74" s="22"/>
      <c r="K74" s="22"/>
      <c r="L74" s="22"/>
      <c r="M74" s="22"/>
      <c r="N74" s="22"/>
      <c r="O74" s="22"/>
      <c r="P74" s="22"/>
      <c r="Q74" s="22" t="s">
        <v>660</v>
      </c>
      <c r="R74" s="22"/>
      <c r="S74" s="23">
        <v>44992</v>
      </c>
      <c r="T74" s="22">
        <v>5</v>
      </c>
      <c r="U74" s="23">
        <f>IF(AND(S74="",T74="")=TRUE,"",WORKDAY(S74,T74-1,Holidays))</f>
        <v>44998</v>
      </c>
      <c r="V74" s="23"/>
      <c r="W74" s="22" t="str">
        <f t="shared" ca="1" si="41"/>
        <v/>
      </c>
      <c r="X74" s="23"/>
      <c r="Y74" s="30">
        <v>0</v>
      </c>
      <c r="Z74" s="22" t="str">
        <f t="shared" si="3"/>
        <v>Open</v>
      </c>
    </row>
    <row r="75" spans="2:26" ht="17.100000000000001" customHeight="1">
      <c r="B75" s="18">
        <v>2</v>
      </c>
      <c r="C75" s="31" t="s">
        <v>655</v>
      </c>
      <c r="D75" s="19"/>
      <c r="E75" s="19" t="s">
        <v>718</v>
      </c>
      <c r="F75" s="19"/>
      <c r="G75" s="19"/>
      <c r="H75" s="20"/>
      <c r="I75" s="22" t="str">
        <f>IF(COUNTIF(I76:I103,"●")&gt;0,"●","")</f>
        <v/>
      </c>
      <c r="J75" s="22" t="str">
        <f t="shared" ref="J75:R75" si="60">IF(COUNTIF(J76:J103,"●")&gt;0,"●","")</f>
        <v/>
      </c>
      <c r="K75" s="22" t="str">
        <f t="shared" si="60"/>
        <v/>
      </c>
      <c r="L75" s="22" t="str">
        <f t="shared" si="60"/>
        <v/>
      </c>
      <c r="M75" s="22" t="str">
        <f t="shared" si="60"/>
        <v>●</v>
      </c>
      <c r="N75" s="22" t="str">
        <f t="shared" si="60"/>
        <v>●</v>
      </c>
      <c r="O75" s="22" t="str">
        <f t="shared" si="60"/>
        <v>●</v>
      </c>
      <c r="P75" s="22" t="str">
        <f t="shared" si="60"/>
        <v>●</v>
      </c>
      <c r="Q75" s="22" t="str">
        <f t="shared" si="60"/>
        <v>●</v>
      </c>
      <c r="R75" s="22" t="str">
        <f t="shared" si="60"/>
        <v>●</v>
      </c>
      <c r="S75" s="23">
        <f>IF(MIN(S76:S103)=0,"",MIN(S76:S103))</f>
        <v>44893</v>
      </c>
      <c r="T75" s="22">
        <f ca="1">IF(AND(S75="",U75="")=TRUE,"",IF(AND(S75&gt;0,U75="")=TRUE,NETWORKDAYS(S75,TODAY(),Holidays),NETWORKDAYS(S75,U75,Holidays)))</f>
        <v>30</v>
      </c>
      <c r="U75" s="23">
        <f>IF(MAX(U76:U103)=0,"",MAX(U76:U103))</f>
        <v>44932</v>
      </c>
      <c r="V75" s="23">
        <f>IF(MIN(V76:V103)=0,"",MIN(V76:V103))</f>
        <v>44893</v>
      </c>
      <c r="W75" s="22">
        <f t="shared" ca="1" si="41"/>
        <v>39</v>
      </c>
      <c r="X75" s="23">
        <f>IF(MAX(X76:X103)=0,"",MAX(X76:X103))</f>
        <v>44945</v>
      </c>
      <c r="Y75" s="30">
        <f>IFERROR(AVERAGE(Y76:Y103),"")</f>
        <v>0.96190476190476193</v>
      </c>
      <c r="Z75" s="22" t="str">
        <f t="shared" si="3"/>
        <v>In-Progress</v>
      </c>
    </row>
    <row r="76" spans="2:26" ht="17.100000000000001" customHeight="1">
      <c r="B76" s="18">
        <v>3</v>
      </c>
      <c r="C76" s="31" t="s">
        <v>655</v>
      </c>
      <c r="D76" s="19"/>
      <c r="E76" s="19"/>
      <c r="F76" s="19" t="s">
        <v>719</v>
      </c>
      <c r="G76" s="19"/>
      <c r="H76" s="20"/>
      <c r="I76" s="22" t="str">
        <f>IF(COUNTIF(I77:I79,"●")&gt;0,"●","")</f>
        <v/>
      </c>
      <c r="J76" s="22" t="str">
        <f t="shared" ref="J76:R76" si="61">IF(COUNTIF(J77:J79,"●")&gt;0,"●","")</f>
        <v/>
      </c>
      <c r="K76" s="22" t="str">
        <f t="shared" si="61"/>
        <v/>
      </c>
      <c r="L76" s="22" t="str">
        <f t="shared" si="61"/>
        <v/>
      </c>
      <c r="M76" s="22" t="str">
        <f t="shared" si="61"/>
        <v/>
      </c>
      <c r="N76" s="22" t="str">
        <f t="shared" si="61"/>
        <v/>
      </c>
      <c r="O76" s="22" t="str">
        <f t="shared" si="61"/>
        <v/>
      </c>
      <c r="P76" s="22" t="str">
        <f t="shared" si="61"/>
        <v>●</v>
      </c>
      <c r="Q76" s="22" t="str">
        <f t="shared" si="61"/>
        <v>●</v>
      </c>
      <c r="R76" s="22" t="str">
        <f t="shared" si="61"/>
        <v>●</v>
      </c>
      <c r="S76" s="23">
        <f>IF(MIN(S77:S79)=0,"",MIN(S77:S79))</f>
        <v>44914</v>
      </c>
      <c r="T76" s="22">
        <f ca="1">IF(AND(S76="",U76="")=TRUE,"",IF(AND(S76&gt;0,U76="")=TRUE,NETWORKDAYS(S76,TODAY(),Holidays),NETWORKDAYS(S76,U76,Holidays)))</f>
        <v>15</v>
      </c>
      <c r="U76" s="23">
        <f>IF(MAX(U77:U79)=0,"",MAX(U77:U79))</f>
        <v>44932</v>
      </c>
      <c r="V76" s="23">
        <f>IF(MIN(V77:V79)=0,"",MIN(V77:V79))</f>
        <v>44921</v>
      </c>
      <c r="W76" s="22">
        <f t="shared" ca="1" si="41"/>
        <v>15</v>
      </c>
      <c r="X76" s="23">
        <f>IF(MAX(X77:X79)=0,"",MAX(X77:X79))</f>
        <v>44939</v>
      </c>
      <c r="Y76" s="30">
        <f>IFERROR(AVERAGE(Y77:Y79),"")</f>
        <v>1</v>
      </c>
      <c r="Z76" s="22" t="str">
        <f t="shared" si="3"/>
        <v>Completed</v>
      </c>
    </row>
    <row r="77" spans="2:26" ht="17.100000000000001" customHeight="1">
      <c r="B77" s="18">
        <v>4</v>
      </c>
      <c r="C77" s="31" t="s">
        <v>658</v>
      </c>
      <c r="D77" s="19"/>
      <c r="E77" s="19"/>
      <c r="F77" s="19"/>
      <c r="G77" s="19" t="s">
        <v>720</v>
      </c>
      <c r="H77" s="20"/>
      <c r="I77" s="22"/>
      <c r="J77" s="22"/>
      <c r="K77" s="22"/>
      <c r="L77" s="22"/>
      <c r="M77" s="22"/>
      <c r="N77" s="22"/>
      <c r="O77" s="22"/>
      <c r="P77" s="22" t="s">
        <v>660</v>
      </c>
      <c r="Q77" s="22" t="s">
        <v>660</v>
      </c>
      <c r="R77" s="22" t="s">
        <v>660</v>
      </c>
      <c r="S77" s="23">
        <v>44914</v>
      </c>
      <c r="T77" s="22">
        <v>5</v>
      </c>
      <c r="U77" s="23">
        <f>IF(AND(S77="",T77="")=TRUE,"",WORKDAY(S77,T77-1,Holidays))</f>
        <v>44918</v>
      </c>
      <c r="V77" s="23">
        <v>44921</v>
      </c>
      <c r="W77" s="22">
        <f t="shared" ca="1" si="41"/>
        <v>5</v>
      </c>
      <c r="X77" s="23">
        <v>44925</v>
      </c>
      <c r="Y77" s="30">
        <v>1</v>
      </c>
      <c r="Z77" s="22" t="str">
        <f t="shared" si="3"/>
        <v>Completed</v>
      </c>
    </row>
    <row r="78" spans="2:26" ht="17.100000000000001" customHeight="1">
      <c r="B78" s="18">
        <v>4</v>
      </c>
      <c r="C78" s="31" t="s">
        <v>658</v>
      </c>
      <c r="D78" s="19"/>
      <c r="E78" s="19"/>
      <c r="F78" s="19"/>
      <c r="G78" s="19" t="s">
        <v>721</v>
      </c>
      <c r="H78" s="20"/>
      <c r="I78" s="22"/>
      <c r="J78" s="22"/>
      <c r="K78" s="22"/>
      <c r="L78" s="22"/>
      <c r="M78" s="22"/>
      <c r="N78" s="22"/>
      <c r="O78" s="22"/>
      <c r="P78" s="22" t="s">
        <v>660</v>
      </c>
      <c r="Q78" s="22" t="s">
        <v>660</v>
      </c>
      <c r="R78" s="22" t="s">
        <v>660</v>
      </c>
      <c r="S78" s="23">
        <v>44921</v>
      </c>
      <c r="T78" s="22">
        <v>5</v>
      </c>
      <c r="U78" s="23">
        <f>IF(AND(S78="",T78="")=TRUE,"",WORKDAY(S78,T78-1,Holidays))</f>
        <v>44925</v>
      </c>
      <c r="V78" s="23">
        <v>44928</v>
      </c>
      <c r="W78" s="22">
        <f t="shared" ca="1" si="41"/>
        <v>5</v>
      </c>
      <c r="X78" s="23">
        <v>44932</v>
      </c>
      <c r="Y78" s="30">
        <v>1</v>
      </c>
      <c r="Z78" s="22" t="str">
        <f t="shared" si="3"/>
        <v>Completed</v>
      </c>
    </row>
    <row r="79" spans="2:26" ht="17.100000000000001" customHeight="1">
      <c r="B79" s="18">
        <v>4</v>
      </c>
      <c r="C79" s="31" t="s">
        <v>658</v>
      </c>
      <c r="D79" s="19"/>
      <c r="E79" s="19"/>
      <c r="F79" s="19"/>
      <c r="G79" s="19" t="s">
        <v>722</v>
      </c>
      <c r="H79" s="20"/>
      <c r="I79" s="22"/>
      <c r="J79" s="22"/>
      <c r="K79" s="22"/>
      <c r="L79" s="22"/>
      <c r="M79" s="22"/>
      <c r="N79" s="22"/>
      <c r="O79" s="22"/>
      <c r="P79" s="22" t="s">
        <v>660</v>
      </c>
      <c r="Q79" s="22" t="s">
        <v>660</v>
      </c>
      <c r="R79" s="22" t="s">
        <v>660</v>
      </c>
      <c r="S79" s="23">
        <v>44928</v>
      </c>
      <c r="T79" s="22">
        <v>5</v>
      </c>
      <c r="U79" s="23">
        <f>IF(AND(S79="",T79="")=TRUE,"",WORKDAY(S79,T79-1,Holidays))</f>
        <v>44932</v>
      </c>
      <c r="V79" s="23">
        <v>44935</v>
      </c>
      <c r="W79" s="22">
        <f t="shared" ref="W79:W110" ca="1" si="62">IF(AND(V79="",X79="")=TRUE,"",IF(AND(V79&gt;0,X79="")=TRUE,NETWORKDAYS(V79,TODAY(),Holidays),NETWORKDAYS(V79,X79,Holidays)))</f>
        <v>5</v>
      </c>
      <c r="X79" s="23">
        <v>44939</v>
      </c>
      <c r="Y79" s="30">
        <v>1</v>
      </c>
      <c r="Z79" s="22" t="str">
        <f t="shared" si="3"/>
        <v>Completed</v>
      </c>
    </row>
    <row r="80" spans="2:26" ht="17.100000000000001" customHeight="1">
      <c r="B80" s="18">
        <v>3</v>
      </c>
      <c r="C80" s="31" t="s">
        <v>655</v>
      </c>
      <c r="D80" s="19"/>
      <c r="E80" s="19"/>
      <c r="F80" s="19" t="s">
        <v>723</v>
      </c>
      <c r="G80" s="19"/>
      <c r="H80" s="20"/>
      <c r="I80" s="22" t="str">
        <f t="shared" ref="I80:R80" si="63">IF(COUNTIF(I81:I83,"●")&gt;0,"●","")</f>
        <v/>
      </c>
      <c r="J80" s="22" t="str">
        <f t="shared" si="63"/>
        <v/>
      </c>
      <c r="K80" s="22" t="str">
        <f t="shared" si="63"/>
        <v/>
      </c>
      <c r="L80" s="22" t="str">
        <f t="shared" si="63"/>
        <v/>
      </c>
      <c r="M80" s="22" t="str">
        <f t="shared" si="63"/>
        <v>●</v>
      </c>
      <c r="N80" s="22" t="str">
        <f t="shared" si="63"/>
        <v/>
      </c>
      <c r="O80" s="22" t="str">
        <f t="shared" si="63"/>
        <v/>
      </c>
      <c r="P80" s="22" t="str">
        <f t="shared" si="63"/>
        <v/>
      </c>
      <c r="Q80" s="22" t="str">
        <f t="shared" si="63"/>
        <v/>
      </c>
      <c r="R80" s="22" t="str">
        <f t="shared" si="63"/>
        <v/>
      </c>
      <c r="S80" s="23">
        <f>IF(MIN(S81:S83)=0,"",MIN(S81:S83))</f>
        <v>44893</v>
      </c>
      <c r="T80" s="22">
        <f ca="1">IF(AND(S80="",U80="")=TRUE,"",IF(AND(S80&gt;0,U80="")=TRUE,NETWORKDAYS(S80,TODAY(),Holidays),NETWORKDAYS(S80,U80,Holidays)))</f>
        <v>15</v>
      </c>
      <c r="U80" s="23">
        <f>IF(MAX(U81:U83)=0,"",MAX(U81:U83))</f>
        <v>44911</v>
      </c>
      <c r="V80" s="23">
        <f>IF(MIN(V81:V83)=0,"",MIN(V81:V83))</f>
        <v>44893</v>
      </c>
      <c r="W80" s="22">
        <f t="shared" ca="1" si="62"/>
        <v>15</v>
      </c>
      <c r="X80" s="23">
        <f>IF(MAX(X81:X83)=0,"",MAX(X81:X83))</f>
        <v>44911</v>
      </c>
      <c r="Y80" s="30">
        <f>IFERROR(AVERAGE(Y81:Y83),"")</f>
        <v>1</v>
      </c>
      <c r="Z80" s="22" t="str">
        <f t="shared" ref="Z80:Z143" si="64">IF(Y80=100%,"Completed",IF(AND(Y80&lt;100%,Y80&gt;0%)=TRUE,"In-Progress","Open"))</f>
        <v>Completed</v>
      </c>
    </row>
    <row r="81" spans="2:26" ht="17.100000000000001" customHeight="1">
      <c r="B81" s="18">
        <v>4</v>
      </c>
      <c r="C81" s="31" t="s">
        <v>658</v>
      </c>
      <c r="D81" s="19"/>
      <c r="E81" s="19"/>
      <c r="F81" s="19"/>
      <c r="G81" s="19" t="s">
        <v>724</v>
      </c>
      <c r="H81" s="20"/>
      <c r="I81" s="22"/>
      <c r="J81" s="22"/>
      <c r="K81" s="22"/>
      <c r="L81" s="22"/>
      <c r="M81" s="22" t="s">
        <v>660</v>
      </c>
      <c r="N81" s="22"/>
      <c r="O81" s="22"/>
      <c r="P81" s="22"/>
      <c r="Q81" s="22"/>
      <c r="R81" s="22"/>
      <c r="S81" s="23">
        <v>44893</v>
      </c>
      <c r="T81" s="22">
        <v>5</v>
      </c>
      <c r="U81" s="23">
        <f>IF(AND(S81="",T81="")=TRUE,"",WORKDAY(S81,T81-1,Holidays))</f>
        <v>44897</v>
      </c>
      <c r="V81" s="23">
        <v>44893</v>
      </c>
      <c r="W81" s="22">
        <f t="shared" ca="1" si="62"/>
        <v>5</v>
      </c>
      <c r="X81" s="23">
        <v>44897</v>
      </c>
      <c r="Y81" s="30">
        <v>1</v>
      </c>
      <c r="Z81" s="22" t="str">
        <f t="shared" si="64"/>
        <v>Completed</v>
      </c>
    </row>
    <row r="82" spans="2:26" ht="17.100000000000001" customHeight="1">
      <c r="B82" s="18">
        <v>4</v>
      </c>
      <c r="C82" s="31" t="s">
        <v>658</v>
      </c>
      <c r="D82" s="19"/>
      <c r="E82" s="19"/>
      <c r="F82" s="19"/>
      <c r="G82" s="19" t="s">
        <v>725</v>
      </c>
      <c r="H82" s="20"/>
      <c r="I82" s="22"/>
      <c r="J82" s="22"/>
      <c r="K82" s="22"/>
      <c r="L82" s="22"/>
      <c r="M82" s="22" t="s">
        <v>660</v>
      </c>
      <c r="N82" s="22"/>
      <c r="O82" s="22"/>
      <c r="P82" s="22"/>
      <c r="Q82" s="22"/>
      <c r="R82" s="22"/>
      <c r="S82" s="23">
        <v>44900</v>
      </c>
      <c r="T82" s="22">
        <v>5</v>
      </c>
      <c r="U82" s="23">
        <f>IF(AND(S82="",T82="")=TRUE,"",WORKDAY(S82,T82-1,Holidays))</f>
        <v>44904</v>
      </c>
      <c r="V82" s="23">
        <v>44900</v>
      </c>
      <c r="W82" s="22">
        <f t="shared" ca="1" si="62"/>
        <v>5</v>
      </c>
      <c r="X82" s="23">
        <v>44904</v>
      </c>
      <c r="Y82" s="30">
        <v>1</v>
      </c>
      <c r="Z82" s="22" t="str">
        <f t="shared" si="64"/>
        <v>Completed</v>
      </c>
    </row>
    <row r="83" spans="2:26" ht="17.100000000000001" customHeight="1">
      <c r="B83" s="18">
        <v>4</v>
      </c>
      <c r="C83" s="31" t="s">
        <v>658</v>
      </c>
      <c r="D83" s="19"/>
      <c r="E83" s="19"/>
      <c r="F83" s="19"/>
      <c r="G83" s="19" t="s">
        <v>726</v>
      </c>
      <c r="H83" s="20"/>
      <c r="I83" s="22"/>
      <c r="J83" s="22"/>
      <c r="K83" s="22"/>
      <c r="L83" s="22"/>
      <c r="M83" s="22" t="s">
        <v>660</v>
      </c>
      <c r="N83" s="22"/>
      <c r="O83" s="22"/>
      <c r="P83" s="22"/>
      <c r="Q83" s="22"/>
      <c r="R83" s="22"/>
      <c r="S83" s="23">
        <v>44907</v>
      </c>
      <c r="T83" s="22">
        <v>5</v>
      </c>
      <c r="U83" s="23">
        <f>IF(AND(S83="",T83="")=TRUE,"",WORKDAY(S83,T83-1,Holidays))</f>
        <v>44911</v>
      </c>
      <c r="V83" s="23">
        <v>44907</v>
      </c>
      <c r="W83" s="22">
        <f t="shared" ca="1" si="62"/>
        <v>5</v>
      </c>
      <c r="X83" s="23">
        <v>44911</v>
      </c>
      <c r="Y83" s="30">
        <v>1</v>
      </c>
      <c r="Z83" s="22" t="str">
        <f t="shared" si="64"/>
        <v>Completed</v>
      </c>
    </row>
    <row r="84" spans="2:26" ht="17.100000000000001" customHeight="1">
      <c r="B84" s="18">
        <v>3</v>
      </c>
      <c r="C84" s="31" t="s">
        <v>655</v>
      </c>
      <c r="D84" s="19"/>
      <c r="E84" s="19"/>
      <c r="F84" s="19" t="s">
        <v>727</v>
      </c>
      <c r="G84" s="19"/>
      <c r="H84" s="20"/>
      <c r="I84" s="22" t="str">
        <f t="shared" ref="I84:R84" si="65">IF(COUNTIF(I85:I87,"●")&gt;0,"●","")</f>
        <v/>
      </c>
      <c r="J84" s="22" t="str">
        <f t="shared" si="65"/>
        <v/>
      </c>
      <c r="K84" s="22" t="str">
        <f t="shared" si="65"/>
        <v/>
      </c>
      <c r="L84" s="22" t="str">
        <f t="shared" si="65"/>
        <v/>
      </c>
      <c r="M84" s="22" t="str">
        <f t="shared" si="65"/>
        <v/>
      </c>
      <c r="N84" s="22" t="str">
        <f t="shared" si="65"/>
        <v>●</v>
      </c>
      <c r="O84" s="22" t="str">
        <f t="shared" si="65"/>
        <v/>
      </c>
      <c r="P84" s="22" t="str">
        <f t="shared" si="65"/>
        <v/>
      </c>
      <c r="Q84" s="22" t="str">
        <f t="shared" si="65"/>
        <v/>
      </c>
      <c r="R84" s="22" t="str">
        <f t="shared" si="65"/>
        <v/>
      </c>
      <c r="S84" s="23">
        <f>IF(MIN(S85:S87)=0,"",MIN(S85:S87))</f>
        <v>44893</v>
      </c>
      <c r="T84" s="22">
        <f ca="1">IF(AND(S84="",U84="")=TRUE,"",IF(AND(S84&gt;0,U84="")=TRUE,NETWORKDAYS(S84,TODAY(),Holidays),NETWORKDAYS(S84,U84,Holidays)))</f>
        <v>15</v>
      </c>
      <c r="U84" s="23">
        <f>IF(MAX(U85:U87)=0,"",MAX(U85:U87))</f>
        <v>44911</v>
      </c>
      <c r="V84" s="23">
        <f>IF(MIN(V85:V87)=0,"",MIN(V85:V87))</f>
        <v>44893</v>
      </c>
      <c r="W84" s="22">
        <f t="shared" ca="1" si="62"/>
        <v>15</v>
      </c>
      <c r="X84" s="23">
        <f>IF(MAX(X85:X87)=0,"",MAX(X85:X87))</f>
        <v>44911</v>
      </c>
      <c r="Y84" s="30">
        <f>IFERROR(AVERAGE(Y85:Y87),"")</f>
        <v>1</v>
      </c>
      <c r="Z84" s="22" t="str">
        <f t="shared" si="64"/>
        <v>Completed</v>
      </c>
    </row>
    <row r="85" spans="2:26" ht="17.100000000000001" customHeight="1">
      <c r="B85" s="18">
        <v>4</v>
      </c>
      <c r="C85" s="31" t="s">
        <v>658</v>
      </c>
      <c r="D85" s="19"/>
      <c r="E85" s="19"/>
      <c r="F85" s="19"/>
      <c r="G85" s="19" t="s">
        <v>728</v>
      </c>
      <c r="H85" s="20"/>
      <c r="I85" s="22"/>
      <c r="J85" s="22"/>
      <c r="K85" s="22"/>
      <c r="L85" s="22"/>
      <c r="M85" s="22"/>
      <c r="N85" s="22" t="s">
        <v>660</v>
      </c>
      <c r="O85" s="22"/>
      <c r="P85" s="22"/>
      <c r="Q85" s="22"/>
      <c r="R85" s="22"/>
      <c r="S85" s="23">
        <v>44893</v>
      </c>
      <c r="T85" s="22">
        <v>5</v>
      </c>
      <c r="U85" s="23">
        <f>IF(AND(S85="",T85="")=TRUE,"",WORKDAY(S85,T85-1,Holidays))</f>
        <v>44897</v>
      </c>
      <c r="V85" s="23">
        <v>44893</v>
      </c>
      <c r="W85" s="22">
        <f t="shared" ca="1" si="62"/>
        <v>5</v>
      </c>
      <c r="X85" s="23">
        <v>44897</v>
      </c>
      <c r="Y85" s="30">
        <v>1</v>
      </c>
      <c r="Z85" s="22" t="str">
        <f t="shared" si="64"/>
        <v>Completed</v>
      </c>
    </row>
    <row r="86" spans="2:26" ht="17.100000000000001" customHeight="1">
      <c r="B86" s="18">
        <v>4</v>
      </c>
      <c r="C86" s="31" t="s">
        <v>658</v>
      </c>
      <c r="D86" s="19"/>
      <c r="E86" s="19"/>
      <c r="F86" s="19"/>
      <c r="G86" s="19" t="s">
        <v>729</v>
      </c>
      <c r="H86" s="20"/>
      <c r="I86" s="22"/>
      <c r="J86" s="22"/>
      <c r="K86" s="22"/>
      <c r="L86" s="22"/>
      <c r="M86" s="22"/>
      <c r="N86" s="22" t="s">
        <v>660</v>
      </c>
      <c r="O86" s="22"/>
      <c r="P86" s="22"/>
      <c r="Q86" s="22"/>
      <c r="R86" s="22"/>
      <c r="S86" s="23">
        <v>44900</v>
      </c>
      <c r="T86" s="22">
        <v>5</v>
      </c>
      <c r="U86" s="23">
        <f>IF(AND(S86="",T86="")=TRUE,"",WORKDAY(S86,T86-1,Holidays))</f>
        <v>44904</v>
      </c>
      <c r="V86" s="23">
        <v>44900</v>
      </c>
      <c r="W86" s="22">
        <f t="shared" ca="1" si="62"/>
        <v>5</v>
      </c>
      <c r="X86" s="23">
        <v>44904</v>
      </c>
      <c r="Y86" s="30">
        <v>1</v>
      </c>
      <c r="Z86" s="22" t="str">
        <f t="shared" si="64"/>
        <v>Completed</v>
      </c>
    </row>
    <row r="87" spans="2:26" ht="17.100000000000001" customHeight="1">
      <c r="B87" s="18">
        <v>4</v>
      </c>
      <c r="C87" s="31" t="s">
        <v>658</v>
      </c>
      <c r="D87" s="19"/>
      <c r="E87" s="19"/>
      <c r="F87" s="19"/>
      <c r="G87" s="19" t="s">
        <v>730</v>
      </c>
      <c r="H87" s="20"/>
      <c r="I87" s="22"/>
      <c r="J87" s="22"/>
      <c r="K87" s="22"/>
      <c r="L87" s="22"/>
      <c r="M87" s="22"/>
      <c r="N87" s="22" t="s">
        <v>660</v>
      </c>
      <c r="O87" s="22"/>
      <c r="P87" s="22"/>
      <c r="Q87" s="22"/>
      <c r="R87" s="22"/>
      <c r="S87" s="23">
        <v>44907</v>
      </c>
      <c r="T87" s="22">
        <v>5</v>
      </c>
      <c r="U87" s="23">
        <f>IF(AND(S87="",T87="")=TRUE,"",WORKDAY(S87,T87-1,Holidays))</f>
        <v>44911</v>
      </c>
      <c r="V87" s="23">
        <v>44907</v>
      </c>
      <c r="W87" s="22">
        <f t="shared" ca="1" si="62"/>
        <v>5</v>
      </c>
      <c r="X87" s="23">
        <v>44911</v>
      </c>
      <c r="Y87" s="30">
        <v>1</v>
      </c>
      <c r="Z87" s="22" t="str">
        <f t="shared" si="64"/>
        <v>Completed</v>
      </c>
    </row>
    <row r="88" spans="2:26" ht="17.100000000000001" customHeight="1">
      <c r="B88" s="18">
        <v>3</v>
      </c>
      <c r="C88" s="31" t="s">
        <v>655</v>
      </c>
      <c r="D88" s="19"/>
      <c r="E88" s="19"/>
      <c r="F88" s="19" t="s">
        <v>731</v>
      </c>
      <c r="G88" s="19"/>
      <c r="H88" s="20"/>
      <c r="I88" s="22" t="str">
        <f t="shared" ref="I88:R88" si="66">IF(COUNTIF(I89:I91,"●")&gt;0,"●","")</f>
        <v/>
      </c>
      <c r="J88" s="22" t="str">
        <f t="shared" si="66"/>
        <v/>
      </c>
      <c r="K88" s="22" t="str">
        <f t="shared" si="66"/>
        <v/>
      </c>
      <c r="L88" s="22" t="str">
        <f t="shared" si="66"/>
        <v/>
      </c>
      <c r="M88" s="22" t="str">
        <f t="shared" si="66"/>
        <v/>
      </c>
      <c r="N88" s="22" t="str">
        <f t="shared" si="66"/>
        <v/>
      </c>
      <c r="O88" s="22" t="str">
        <f t="shared" si="66"/>
        <v>●</v>
      </c>
      <c r="P88" s="22" t="str">
        <f t="shared" si="66"/>
        <v/>
      </c>
      <c r="Q88" s="22" t="str">
        <f t="shared" si="66"/>
        <v/>
      </c>
      <c r="R88" s="22" t="str">
        <f t="shared" si="66"/>
        <v/>
      </c>
      <c r="S88" s="23">
        <f>IF(MIN(S89:S91)=0,"",MIN(S89:S91))</f>
        <v>44893</v>
      </c>
      <c r="T88" s="22">
        <f ca="1">IF(AND(S88="",U88="")=TRUE,"",IF(AND(S88&gt;0,U88="")=TRUE,NETWORKDAYS(S88,TODAY(),Holidays),NETWORKDAYS(S88,U88,Holidays)))</f>
        <v>15</v>
      </c>
      <c r="U88" s="23">
        <f>IF(MAX(U89:U91)=0,"",MAX(U89:U91))</f>
        <v>44911</v>
      </c>
      <c r="V88" s="23">
        <f>IF(MIN(V89:V91)=0,"",MIN(V89:V91))</f>
        <v>44893</v>
      </c>
      <c r="W88" s="22">
        <f t="shared" ca="1" si="62"/>
        <v>15</v>
      </c>
      <c r="X88" s="23">
        <f>IF(MAX(X89:X91)=0,"",MAX(X89:X91))</f>
        <v>44911</v>
      </c>
      <c r="Y88" s="30">
        <f>IFERROR(AVERAGE(Y89:Y91),"")</f>
        <v>1</v>
      </c>
      <c r="Z88" s="22" t="str">
        <f t="shared" si="64"/>
        <v>Completed</v>
      </c>
    </row>
    <row r="89" spans="2:26" ht="17.100000000000001" customHeight="1">
      <c r="B89" s="18">
        <v>4</v>
      </c>
      <c r="C89" s="31" t="s">
        <v>658</v>
      </c>
      <c r="D89" s="19"/>
      <c r="E89" s="19"/>
      <c r="F89" s="19"/>
      <c r="G89" s="19" t="s">
        <v>732</v>
      </c>
      <c r="H89" s="20"/>
      <c r="I89" s="22"/>
      <c r="J89" s="22"/>
      <c r="K89" s="22"/>
      <c r="L89" s="22"/>
      <c r="M89" s="22"/>
      <c r="N89" s="22"/>
      <c r="O89" s="22" t="s">
        <v>660</v>
      </c>
      <c r="P89" s="22"/>
      <c r="Q89" s="22"/>
      <c r="R89" s="22"/>
      <c r="S89" s="23">
        <v>44893</v>
      </c>
      <c r="T89" s="22">
        <v>5</v>
      </c>
      <c r="U89" s="23">
        <f>IF(AND(S89="",T89="")=TRUE,"",WORKDAY(S89,T89-1,Holidays))</f>
        <v>44897</v>
      </c>
      <c r="V89" s="23">
        <v>44893</v>
      </c>
      <c r="W89" s="22">
        <f t="shared" ca="1" si="62"/>
        <v>5</v>
      </c>
      <c r="X89" s="23">
        <v>44897</v>
      </c>
      <c r="Y89" s="30">
        <v>1</v>
      </c>
      <c r="Z89" s="22" t="str">
        <f t="shared" si="64"/>
        <v>Completed</v>
      </c>
    </row>
    <row r="90" spans="2:26" ht="17.100000000000001" customHeight="1">
      <c r="B90" s="18">
        <v>4</v>
      </c>
      <c r="C90" s="31" t="s">
        <v>658</v>
      </c>
      <c r="D90" s="19"/>
      <c r="E90" s="19"/>
      <c r="F90" s="19"/>
      <c r="G90" s="19" t="s">
        <v>733</v>
      </c>
      <c r="H90" s="20"/>
      <c r="I90" s="22"/>
      <c r="J90" s="22"/>
      <c r="K90" s="22"/>
      <c r="L90" s="22"/>
      <c r="M90" s="22"/>
      <c r="N90" s="22"/>
      <c r="O90" s="22" t="s">
        <v>660</v>
      </c>
      <c r="P90" s="22"/>
      <c r="Q90" s="22"/>
      <c r="R90" s="22"/>
      <c r="S90" s="23">
        <v>44900</v>
      </c>
      <c r="T90" s="22">
        <v>5</v>
      </c>
      <c r="U90" s="23">
        <f>IF(AND(S90="",T90="")=TRUE,"",WORKDAY(S90,T90-1,Holidays))</f>
        <v>44904</v>
      </c>
      <c r="V90" s="23">
        <v>44900</v>
      </c>
      <c r="W90" s="22">
        <f t="shared" ca="1" si="62"/>
        <v>5</v>
      </c>
      <c r="X90" s="23">
        <v>44904</v>
      </c>
      <c r="Y90" s="30">
        <v>1</v>
      </c>
      <c r="Z90" s="22" t="str">
        <f t="shared" si="64"/>
        <v>Completed</v>
      </c>
    </row>
    <row r="91" spans="2:26" ht="17.100000000000001" customHeight="1">
      <c r="B91" s="18">
        <v>4</v>
      </c>
      <c r="C91" s="31" t="s">
        <v>658</v>
      </c>
      <c r="D91" s="19"/>
      <c r="E91" s="19"/>
      <c r="F91" s="19"/>
      <c r="G91" s="19" t="s">
        <v>734</v>
      </c>
      <c r="H91" s="20"/>
      <c r="I91" s="22"/>
      <c r="J91" s="22"/>
      <c r="K91" s="22"/>
      <c r="L91" s="22"/>
      <c r="M91" s="22"/>
      <c r="N91" s="22"/>
      <c r="O91" s="22" t="s">
        <v>660</v>
      </c>
      <c r="P91" s="22"/>
      <c r="Q91" s="22"/>
      <c r="R91" s="22"/>
      <c r="S91" s="23">
        <v>44907</v>
      </c>
      <c r="T91" s="22">
        <v>5</v>
      </c>
      <c r="U91" s="23">
        <f>IF(AND(S91="",T91="")=TRUE,"",WORKDAY(S91,T91-1,Holidays))</f>
        <v>44911</v>
      </c>
      <c r="V91" s="23">
        <v>44907</v>
      </c>
      <c r="W91" s="22">
        <f t="shared" ca="1" si="62"/>
        <v>5</v>
      </c>
      <c r="X91" s="23">
        <v>44911</v>
      </c>
      <c r="Y91" s="30">
        <v>1</v>
      </c>
      <c r="Z91" s="22" t="str">
        <f t="shared" si="64"/>
        <v>Completed</v>
      </c>
    </row>
    <row r="92" spans="2:26" ht="17.100000000000001" customHeight="1">
      <c r="B92" s="18">
        <v>3</v>
      </c>
      <c r="C92" s="31" t="s">
        <v>655</v>
      </c>
      <c r="D92" s="19"/>
      <c r="E92" s="19"/>
      <c r="F92" s="19" t="s">
        <v>735</v>
      </c>
      <c r="G92" s="19"/>
      <c r="H92" s="20"/>
      <c r="I92" s="22" t="str">
        <f t="shared" ref="I92:R92" si="67">IF(COUNTIF(I93:I95,"●")&gt;0,"●","")</f>
        <v/>
      </c>
      <c r="J92" s="22" t="str">
        <f t="shared" si="67"/>
        <v/>
      </c>
      <c r="K92" s="22" t="str">
        <f t="shared" si="67"/>
        <v/>
      </c>
      <c r="L92" s="22" t="str">
        <f t="shared" si="67"/>
        <v/>
      </c>
      <c r="M92" s="22" t="str">
        <f t="shared" si="67"/>
        <v/>
      </c>
      <c r="N92" s="22" t="str">
        <f t="shared" si="67"/>
        <v>●</v>
      </c>
      <c r="O92" s="22" t="str">
        <f t="shared" si="67"/>
        <v/>
      </c>
      <c r="P92" s="22" t="str">
        <f t="shared" si="67"/>
        <v/>
      </c>
      <c r="Q92" s="22" t="str">
        <f t="shared" si="67"/>
        <v/>
      </c>
      <c r="R92" s="22" t="str">
        <f t="shared" si="67"/>
        <v/>
      </c>
      <c r="S92" s="23">
        <f>IF(MIN(S93:S95)=0,"",MIN(S93:S95))</f>
        <v>44914</v>
      </c>
      <c r="T92" s="22">
        <f ca="1">IF(AND(S92="",U92="")=TRUE,"",IF(AND(S92&gt;0,U92="")=TRUE,NETWORKDAYS(S92,TODAY(),Holidays),NETWORKDAYS(S92,U92,Holidays)))</f>
        <v>15</v>
      </c>
      <c r="U92" s="23">
        <f>IF(MAX(U93:U95)=0,"",MAX(U93:U95))</f>
        <v>44932</v>
      </c>
      <c r="V92" s="23">
        <f>IF(MIN(V93:V95)=0,"",MIN(V93:V95))</f>
        <v>44914</v>
      </c>
      <c r="W92" s="22">
        <f t="shared" ca="1" si="62"/>
        <v>15</v>
      </c>
      <c r="X92" s="23">
        <f>IF(MAX(X93:X95)=0,"",MAX(X93:X95))</f>
        <v>44932</v>
      </c>
      <c r="Y92" s="30">
        <f>IFERROR(AVERAGE(Y93:Y95),"")</f>
        <v>1</v>
      </c>
      <c r="Z92" s="22" t="str">
        <f t="shared" si="64"/>
        <v>Completed</v>
      </c>
    </row>
    <row r="93" spans="2:26" ht="17.100000000000001" customHeight="1">
      <c r="B93" s="18">
        <v>4</v>
      </c>
      <c r="C93" s="31" t="s">
        <v>658</v>
      </c>
      <c r="D93" s="19"/>
      <c r="E93" s="19"/>
      <c r="F93" s="19"/>
      <c r="G93" s="19" t="s">
        <v>736</v>
      </c>
      <c r="H93" s="20"/>
      <c r="I93" s="22"/>
      <c r="J93" s="22"/>
      <c r="K93" s="22"/>
      <c r="L93" s="22"/>
      <c r="M93" s="22"/>
      <c r="N93" s="22" t="s">
        <v>660</v>
      </c>
      <c r="O93" s="22"/>
      <c r="P93" s="22"/>
      <c r="Q93" s="22"/>
      <c r="R93" s="22"/>
      <c r="S93" s="23">
        <v>44914</v>
      </c>
      <c r="T93" s="22">
        <v>5</v>
      </c>
      <c r="U93" s="23">
        <f>IF(AND(S93="",T93="")=TRUE,"",WORKDAY(S93,T93-1,Holidays))</f>
        <v>44918</v>
      </c>
      <c r="V93" s="23">
        <v>44914</v>
      </c>
      <c r="W93" s="22">
        <f t="shared" ca="1" si="62"/>
        <v>5</v>
      </c>
      <c r="X93" s="23">
        <v>44918</v>
      </c>
      <c r="Y93" s="30">
        <v>1</v>
      </c>
      <c r="Z93" s="22" t="str">
        <f t="shared" si="64"/>
        <v>Completed</v>
      </c>
    </row>
    <row r="94" spans="2:26" ht="17.100000000000001" customHeight="1">
      <c r="B94" s="18">
        <v>4</v>
      </c>
      <c r="C94" s="31" t="s">
        <v>658</v>
      </c>
      <c r="D94" s="19"/>
      <c r="E94" s="19"/>
      <c r="F94" s="19"/>
      <c r="G94" s="19" t="s">
        <v>737</v>
      </c>
      <c r="H94" s="20"/>
      <c r="I94" s="22"/>
      <c r="J94" s="22"/>
      <c r="K94" s="22"/>
      <c r="L94" s="22"/>
      <c r="M94" s="22"/>
      <c r="N94" s="22" t="s">
        <v>660</v>
      </c>
      <c r="O94" s="22"/>
      <c r="P94" s="22"/>
      <c r="Q94" s="22"/>
      <c r="R94" s="22"/>
      <c r="S94" s="23">
        <v>44921</v>
      </c>
      <c r="T94" s="22">
        <v>5</v>
      </c>
      <c r="U94" s="23">
        <f>IF(AND(S94="",T94="")=TRUE,"",WORKDAY(S94,T94-1,Holidays))</f>
        <v>44925</v>
      </c>
      <c r="V94" s="23">
        <v>44921</v>
      </c>
      <c r="W94" s="22">
        <f t="shared" ca="1" si="62"/>
        <v>5</v>
      </c>
      <c r="X94" s="23">
        <v>44925</v>
      </c>
      <c r="Y94" s="30">
        <v>1</v>
      </c>
      <c r="Z94" s="22" t="str">
        <f t="shared" si="64"/>
        <v>Completed</v>
      </c>
    </row>
    <row r="95" spans="2:26" ht="17.100000000000001" customHeight="1">
      <c r="B95" s="18">
        <v>4</v>
      </c>
      <c r="C95" s="31" t="s">
        <v>658</v>
      </c>
      <c r="D95" s="19"/>
      <c r="E95" s="19"/>
      <c r="F95" s="19"/>
      <c r="G95" s="19" t="s">
        <v>738</v>
      </c>
      <c r="H95" s="20"/>
      <c r="I95" s="22"/>
      <c r="J95" s="22"/>
      <c r="K95" s="22"/>
      <c r="L95" s="22"/>
      <c r="M95" s="22"/>
      <c r="N95" s="22" t="s">
        <v>660</v>
      </c>
      <c r="O95" s="22"/>
      <c r="P95" s="22"/>
      <c r="Q95" s="22"/>
      <c r="R95" s="22"/>
      <c r="S95" s="23">
        <v>44928</v>
      </c>
      <c r="T95" s="22">
        <v>5</v>
      </c>
      <c r="U95" s="23">
        <f>IF(AND(S95="",T95="")=TRUE,"",WORKDAY(S95,T95-1,Holidays))</f>
        <v>44932</v>
      </c>
      <c r="V95" s="23">
        <v>44928</v>
      </c>
      <c r="W95" s="22">
        <f t="shared" ca="1" si="62"/>
        <v>5</v>
      </c>
      <c r="X95" s="23">
        <v>44932</v>
      </c>
      <c r="Y95" s="30">
        <v>1</v>
      </c>
      <c r="Z95" s="22" t="str">
        <f t="shared" si="64"/>
        <v>Completed</v>
      </c>
    </row>
    <row r="96" spans="2:26" ht="17.100000000000001" customHeight="1">
      <c r="B96" s="18">
        <v>3</v>
      </c>
      <c r="C96" s="31" t="s">
        <v>655</v>
      </c>
      <c r="D96" s="19"/>
      <c r="E96" s="19"/>
      <c r="F96" s="19" t="s">
        <v>739</v>
      </c>
      <c r="G96" s="19"/>
      <c r="H96" s="20"/>
      <c r="I96" s="22" t="str">
        <f t="shared" ref="I96" si="68">IF(COUNTIF(I97:I99,"●")&gt;0,"●","")</f>
        <v/>
      </c>
      <c r="J96" s="22" t="str">
        <f t="shared" ref="J96" si="69">IF(COUNTIF(J97:J99,"●")&gt;0,"●","")</f>
        <v/>
      </c>
      <c r="K96" s="22" t="str">
        <f t="shared" ref="K96" si="70">IF(COUNTIF(K97:K99,"●")&gt;0,"●","")</f>
        <v/>
      </c>
      <c r="L96" s="22" t="str">
        <f t="shared" ref="L96" si="71">IF(COUNTIF(L97:L99,"●")&gt;0,"●","")</f>
        <v/>
      </c>
      <c r="M96" s="22" t="str">
        <f t="shared" ref="M96" si="72">IF(COUNTIF(M97:M99,"●")&gt;0,"●","")</f>
        <v/>
      </c>
      <c r="N96" s="22" t="str">
        <f t="shared" ref="N96" si="73">IF(COUNTIF(N97:N99,"●")&gt;0,"●","")</f>
        <v/>
      </c>
      <c r="O96" s="22" t="str">
        <f t="shared" ref="O96" si="74">IF(COUNTIF(O97:O99,"●")&gt;0,"●","")</f>
        <v>●</v>
      </c>
      <c r="P96" s="22" t="str">
        <f t="shared" ref="P96" si="75">IF(COUNTIF(P97:P99,"●")&gt;0,"●","")</f>
        <v/>
      </c>
      <c r="Q96" s="22" t="str">
        <f t="shared" ref="Q96" si="76">IF(COUNTIF(Q97:Q99,"●")&gt;0,"●","")</f>
        <v/>
      </c>
      <c r="R96" s="22" t="str">
        <f t="shared" ref="R96" si="77">IF(COUNTIF(R97:R99,"●")&gt;0,"●","")</f>
        <v/>
      </c>
      <c r="S96" s="23">
        <f>IF(MIN(S97:S99)=0,"",MIN(S97:S99))</f>
        <v>44914</v>
      </c>
      <c r="T96" s="22">
        <f ca="1">IF(AND(S96="",U96="")=TRUE,"",IF(AND(S96&gt;0,U96="")=TRUE,NETWORKDAYS(S96,TODAY(),Holidays),NETWORKDAYS(S96,U96,Holidays)))</f>
        <v>15</v>
      </c>
      <c r="U96" s="23">
        <f>IF(MAX(U97:U99)=0,"",MAX(U97:U99))</f>
        <v>44932</v>
      </c>
      <c r="V96" s="23">
        <f>IF(MIN(V97:V99)=0,"",MIN(V97:V99))</f>
        <v>44914</v>
      </c>
      <c r="W96" s="22">
        <f t="shared" ca="1" si="62"/>
        <v>15</v>
      </c>
      <c r="X96" s="23">
        <f>IF(MAX(X97:X99)=0,"",MAX(X97:X99))</f>
        <v>44932</v>
      </c>
      <c r="Y96" s="30">
        <f>IFERROR(AVERAGE(Y97:Y99),"")</f>
        <v>1</v>
      </c>
      <c r="Z96" s="22" t="str">
        <f t="shared" si="64"/>
        <v>Completed</v>
      </c>
    </row>
    <row r="97" spans="2:26" ht="17.100000000000001" customHeight="1">
      <c r="B97" s="18">
        <v>4</v>
      </c>
      <c r="C97" s="31" t="s">
        <v>658</v>
      </c>
      <c r="D97" s="19"/>
      <c r="E97" s="19"/>
      <c r="F97" s="19"/>
      <c r="G97" s="19" t="s">
        <v>740</v>
      </c>
      <c r="H97" s="20"/>
      <c r="I97" s="22"/>
      <c r="J97" s="22"/>
      <c r="K97" s="22"/>
      <c r="L97" s="22"/>
      <c r="M97" s="22"/>
      <c r="N97" s="22"/>
      <c r="O97" s="22" t="s">
        <v>660</v>
      </c>
      <c r="P97" s="22"/>
      <c r="Q97" s="22"/>
      <c r="R97" s="22"/>
      <c r="S97" s="23">
        <v>44914</v>
      </c>
      <c r="T97" s="22">
        <v>5</v>
      </c>
      <c r="U97" s="23">
        <f>IF(AND(S97="",T97="")=TRUE,"",WORKDAY(S97,T97-1,Holidays))</f>
        <v>44918</v>
      </c>
      <c r="V97" s="23">
        <v>44914</v>
      </c>
      <c r="W97" s="22">
        <f t="shared" ca="1" si="62"/>
        <v>5</v>
      </c>
      <c r="X97" s="23">
        <v>44918</v>
      </c>
      <c r="Y97" s="30">
        <v>1</v>
      </c>
      <c r="Z97" s="22" t="str">
        <f t="shared" si="64"/>
        <v>Completed</v>
      </c>
    </row>
    <row r="98" spans="2:26" ht="17.100000000000001" customHeight="1">
      <c r="B98" s="18">
        <v>4</v>
      </c>
      <c r="C98" s="31" t="s">
        <v>658</v>
      </c>
      <c r="D98" s="19"/>
      <c r="E98" s="19"/>
      <c r="F98" s="19"/>
      <c r="G98" s="19" t="s">
        <v>741</v>
      </c>
      <c r="H98" s="20"/>
      <c r="I98" s="22"/>
      <c r="J98" s="22"/>
      <c r="K98" s="22"/>
      <c r="L98" s="22"/>
      <c r="M98" s="22"/>
      <c r="N98" s="22"/>
      <c r="O98" s="22" t="s">
        <v>660</v>
      </c>
      <c r="P98" s="22"/>
      <c r="Q98" s="22"/>
      <c r="R98" s="22"/>
      <c r="S98" s="23">
        <v>44921</v>
      </c>
      <c r="T98" s="22">
        <v>5</v>
      </c>
      <c r="U98" s="23">
        <f>IF(AND(S98="",T98="")=TRUE,"",WORKDAY(S98,T98-1,Holidays))</f>
        <v>44925</v>
      </c>
      <c r="V98" s="23">
        <v>44921</v>
      </c>
      <c r="W98" s="22">
        <f t="shared" ca="1" si="62"/>
        <v>5</v>
      </c>
      <c r="X98" s="23">
        <v>44925</v>
      </c>
      <c r="Y98" s="30">
        <v>1</v>
      </c>
      <c r="Z98" s="22" t="str">
        <f t="shared" si="64"/>
        <v>Completed</v>
      </c>
    </row>
    <row r="99" spans="2:26" ht="17.100000000000001" customHeight="1">
      <c r="B99" s="18">
        <v>4</v>
      </c>
      <c r="C99" s="31" t="s">
        <v>658</v>
      </c>
      <c r="D99" s="19"/>
      <c r="E99" s="19"/>
      <c r="F99" s="19"/>
      <c r="G99" s="19" t="s">
        <v>742</v>
      </c>
      <c r="H99" s="20"/>
      <c r="I99" s="22"/>
      <c r="J99" s="22"/>
      <c r="K99" s="22"/>
      <c r="L99" s="22"/>
      <c r="M99" s="22"/>
      <c r="N99" s="22"/>
      <c r="O99" s="22" t="s">
        <v>660</v>
      </c>
      <c r="P99" s="22"/>
      <c r="Q99" s="22"/>
      <c r="R99" s="22"/>
      <c r="S99" s="23">
        <v>44928</v>
      </c>
      <c r="T99" s="22">
        <v>5</v>
      </c>
      <c r="U99" s="23">
        <f>IF(AND(S99="",T99="")=TRUE,"",WORKDAY(S99,T99-1,Holidays))</f>
        <v>44932</v>
      </c>
      <c r="V99" s="23">
        <v>44928</v>
      </c>
      <c r="W99" s="22">
        <f t="shared" ca="1" si="62"/>
        <v>5</v>
      </c>
      <c r="X99" s="23">
        <v>44932</v>
      </c>
      <c r="Y99" s="30">
        <v>1</v>
      </c>
      <c r="Z99" s="22" t="str">
        <f t="shared" si="64"/>
        <v>Completed</v>
      </c>
    </row>
    <row r="100" spans="2:26" ht="17.100000000000001" customHeight="1">
      <c r="B100" s="18">
        <v>3</v>
      </c>
      <c r="C100" s="31" t="s">
        <v>655</v>
      </c>
      <c r="D100" s="19"/>
      <c r="E100" s="19"/>
      <c r="F100" s="19" t="s">
        <v>743</v>
      </c>
      <c r="G100" s="19"/>
      <c r="H100" s="20"/>
      <c r="I100" s="22" t="str">
        <f t="shared" ref="I100" si="78">IF(COUNTIF(I101:I103,"●")&gt;0,"●","")</f>
        <v/>
      </c>
      <c r="J100" s="22" t="str">
        <f t="shared" ref="J100" si="79">IF(COUNTIF(J101:J103,"●")&gt;0,"●","")</f>
        <v/>
      </c>
      <c r="K100" s="22" t="str">
        <f t="shared" ref="K100" si="80">IF(COUNTIF(K101:K103,"●")&gt;0,"●","")</f>
        <v/>
      </c>
      <c r="L100" s="22" t="str">
        <f t="shared" ref="L100" si="81">IF(COUNTIF(L101:L103,"●")&gt;0,"●","")</f>
        <v/>
      </c>
      <c r="M100" s="22" t="str">
        <f t="shared" ref="M100" si="82">IF(COUNTIF(M101:M103,"●")&gt;0,"●","")</f>
        <v>●</v>
      </c>
      <c r="N100" s="22" t="str">
        <f t="shared" ref="N100" si="83">IF(COUNTIF(N101:N103,"●")&gt;0,"●","")</f>
        <v/>
      </c>
      <c r="O100" s="22" t="str">
        <f t="shared" ref="O100" si="84">IF(COUNTIF(O101:O103,"●")&gt;0,"●","")</f>
        <v/>
      </c>
      <c r="P100" s="22" t="str">
        <f t="shared" ref="P100" si="85">IF(COUNTIF(P101:P103,"●")&gt;0,"●","")</f>
        <v/>
      </c>
      <c r="Q100" s="22" t="str">
        <f t="shared" ref="Q100" si="86">IF(COUNTIF(Q101:Q103,"●")&gt;0,"●","")</f>
        <v/>
      </c>
      <c r="R100" s="22" t="str">
        <f t="shared" ref="R100" si="87">IF(COUNTIF(R101:R103,"●")&gt;0,"●","")</f>
        <v/>
      </c>
      <c r="S100" s="23">
        <f>IF(MIN(S101:S103)=0,"",MIN(S101:S103))</f>
        <v>44914</v>
      </c>
      <c r="T100" s="22">
        <f ca="1">IF(AND(S100="",U100="")=TRUE,"",IF(AND(S100&gt;0,U100="")=TRUE,NETWORKDAYS(S100,TODAY(),Holidays),NETWORKDAYS(S100,U100,Holidays)))</f>
        <v>15</v>
      </c>
      <c r="U100" s="23">
        <f>IF(MAX(U101:U103)=0,"",MAX(U101:U103))</f>
        <v>44932</v>
      </c>
      <c r="V100" s="23">
        <f>IF(MIN(V101:V103)=0,"",MIN(V101:V103))</f>
        <v>44928</v>
      </c>
      <c r="W100" s="22">
        <f t="shared" ca="1" si="62"/>
        <v>14</v>
      </c>
      <c r="X100" s="23">
        <f>IF(MAX(X101:X103)=0,"",MAX(X101:X103))</f>
        <v>44945</v>
      </c>
      <c r="Y100" s="30">
        <f>IFERROR(AVERAGE(Y101:Y103),"")</f>
        <v>0.73333333333333339</v>
      </c>
      <c r="Z100" s="22" t="str">
        <f t="shared" si="64"/>
        <v>In-Progress</v>
      </c>
    </row>
    <row r="101" spans="2:26" ht="17.100000000000001" customHeight="1">
      <c r="B101" s="18">
        <v>4</v>
      </c>
      <c r="C101" s="31" t="s">
        <v>658</v>
      </c>
      <c r="D101" s="19"/>
      <c r="E101" s="19"/>
      <c r="F101" s="19"/>
      <c r="G101" s="19" t="s">
        <v>744</v>
      </c>
      <c r="H101" s="20"/>
      <c r="I101" s="22"/>
      <c r="J101" s="22"/>
      <c r="K101" s="22"/>
      <c r="L101" s="22"/>
      <c r="M101" s="22" t="s">
        <v>660</v>
      </c>
      <c r="N101" s="22"/>
      <c r="O101" s="22"/>
      <c r="P101" s="22"/>
      <c r="Q101" s="22"/>
      <c r="R101" s="22"/>
      <c r="S101" s="23">
        <v>44914</v>
      </c>
      <c r="T101" s="22">
        <v>5</v>
      </c>
      <c r="U101" s="23">
        <f>IF(AND(S101="",T101="")=TRUE,"",WORKDAY(S101,T101-1,Holidays))</f>
        <v>44918</v>
      </c>
      <c r="V101" s="23">
        <v>44928</v>
      </c>
      <c r="W101" s="22">
        <f t="shared" ca="1" si="62"/>
        <v>5</v>
      </c>
      <c r="X101" s="23">
        <v>44932</v>
      </c>
      <c r="Y101" s="30">
        <v>1</v>
      </c>
      <c r="Z101" s="22" t="str">
        <f t="shared" si="64"/>
        <v>Completed</v>
      </c>
    </row>
    <row r="102" spans="2:26" ht="17.100000000000001" customHeight="1">
      <c r="B102" s="18">
        <v>4</v>
      </c>
      <c r="C102" s="31" t="s">
        <v>658</v>
      </c>
      <c r="D102" s="19"/>
      <c r="E102" s="19"/>
      <c r="F102" s="19"/>
      <c r="G102" s="19" t="s">
        <v>745</v>
      </c>
      <c r="H102" s="20"/>
      <c r="I102" s="22"/>
      <c r="J102" s="22"/>
      <c r="K102" s="22"/>
      <c r="L102" s="22"/>
      <c r="M102" s="22" t="s">
        <v>660</v>
      </c>
      <c r="N102" s="22"/>
      <c r="O102" s="22"/>
      <c r="P102" s="22"/>
      <c r="Q102" s="22"/>
      <c r="R102" s="22"/>
      <c r="S102" s="23">
        <v>44921</v>
      </c>
      <c r="T102" s="22">
        <v>5</v>
      </c>
      <c r="U102" s="23">
        <f>IF(AND(S102="",T102="")=TRUE,"",WORKDAY(S102,T102-1,Holidays))</f>
        <v>44925</v>
      </c>
      <c r="V102" s="23">
        <v>44935</v>
      </c>
      <c r="W102" s="22">
        <f t="shared" ca="1" si="62"/>
        <v>9</v>
      </c>
      <c r="X102" s="23">
        <v>44945</v>
      </c>
      <c r="Y102" s="30">
        <v>1</v>
      </c>
      <c r="Z102" s="22" t="str">
        <f t="shared" si="64"/>
        <v>Completed</v>
      </c>
    </row>
    <row r="103" spans="2:26" ht="17.100000000000001" customHeight="1">
      <c r="B103" s="18">
        <v>4</v>
      </c>
      <c r="C103" s="31" t="s">
        <v>658</v>
      </c>
      <c r="D103" s="19"/>
      <c r="E103" s="19"/>
      <c r="F103" s="19"/>
      <c r="G103" s="19" t="s">
        <v>746</v>
      </c>
      <c r="H103" s="20"/>
      <c r="I103" s="22"/>
      <c r="J103" s="22"/>
      <c r="K103" s="22"/>
      <c r="L103" s="22"/>
      <c r="M103" s="22" t="s">
        <v>660</v>
      </c>
      <c r="N103" s="22"/>
      <c r="O103" s="22"/>
      <c r="P103" s="22"/>
      <c r="Q103" s="22"/>
      <c r="R103" s="22"/>
      <c r="S103" s="23">
        <v>44928</v>
      </c>
      <c r="T103" s="22">
        <v>5</v>
      </c>
      <c r="U103" s="23">
        <f>IF(AND(S103="",T103="")=TRUE,"",WORKDAY(S103,T103-1,Holidays))</f>
        <v>44932</v>
      </c>
      <c r="V103" s="23">
        <v>44945</v>
      </c>
      <c r="W103" s="22">
        <f t="shared" ca="1" si="62"/>
        <v>354</v>
      </c>
      <c r="X103" s="23"/>
      <c r="Y103" s="30">
        <v>0.2</v>
      </c>
      <c r="Z103" s="22" t="str">
        <f t="shared" si="64"/>
        <v>In-Progress</v>
      </c>
    </row>
    <row r="104" spans="2:26" ht="17.100000000000001" customHeight="1">
      <c r="B104" s="18">
        <v>2</v>
      </c>
      <c r="C104" s="31" t="s">
        <v>655</v>
      </c>
      <c r="D104" s="19"/>
      <c r="E104" s="19" t="s">
        <v>747</v>
      </c>
      <c r="F104" s="19"/>
      <c r="G104" s="19"/>
      <c r="H104" s="20"/>
      <c r="I104" s="22" t="str">
        <f>IF(COUNTIF(I105:I152,"●")&gt;0,"●","")</f>
        <v/>
      </c>
      <c r="J104" s="22" t="str">
        <f t="shared" ref="J104:R104" si="88">IF(COUNTIF(J105:J152,"●")&gt;0,"●","")</f>
        <v/>
      </c>
      <c r="K104" s="22" t="str">
        <f t="shared" si="88"/>
        <v/>
      </c>
      <c r="L104" s="22" t="str">
        <f t="shared" si="88"/>
        <v/>
      </c>
      <c r="M104" s="22" t="str">
        <f t="shared" si="88"/>
        <v>●</v>
      </c>
      <c r="N104" s="22" t="str">
        <f t="shared" si="88"/>
        <v>●</v>
      </c>
      <c r="O104" s="22" t="str">
        <f t="shared" si="88"/>
        <v>●</v>
      </c>
      <c r="P104" s="22" t="str">
        <f t="shared" si="88"/>
        <v>●</v>
      </c>
      <c r="Q104" s="22" t="str">
        <f t="shared" si="88"/>
        <v>●</v>
      </c>
      <c r="R104" s="22" t="str">
        <f t="shared" si="88"/>
        <v>●</v>
      </c>
      <c r="S104" s="23">
        <f>IF(MIN(S105:S152)=0,"",MIN(S105:S152))</f>
        <v>44935</v>
      </c>
      <c r="T104" s="22">
        <f ca="1">IF(AND(S104="",U104="")=TRUE,"",IF(AND(S104&gt;0,U104="")=TRUE,NETWORKDAYS(S104,TODAY(),Holidays),NETWORKDAYS(S104,U104,Holidays)))</f>
        <v>46</v>
      </c>
      <c r="U104" s="23">
        <f>IF(MAX(U105:U152)=0,"",MAX(U105:U152))</f>
        <v>44998</v>
      </c>
      <c r="V104" s="23">
        <f>IF(MIN(V105:V152)=0,"",MIN(V105:V152))</f>
        <v>44935</v>
      </c>
      <c r="W104" s="22">
        <f t="shared" ca="1" si="62"/>
        <v>362</v>
      </c>
      <c r="X104" s="23" t="str">
        <f>IF(MAX(X105:X152)=0,"",MAX(X105:X152))</f>
        <v/>
      </c>
      <c r="Y104" s="30">
        <f>IFERROR(AVERAGE(Y105:Y152),"")</f>
        <v>0.125</v>
      </c>
      <c r="Z104" s="22" t="str">
        <f t="shared" si="64"/>
        <v>In-Progress</v>
      </c>
    </row>
    <row r="105" spans="2:26" ht="17.100000000000001" customHeight="1">
      <c r="B105" s="18">
        <v>3</v>
      </c>
      <c r="C105" s="31" t="s">
        <v>655</v>
      </c>
      <c r="D105" s="19"/>
      <c r="E105" s="19"/>
      <c r="F105" s="19" t="s">
        <v>748</v>
      </c>
      <c r="G105" s="19"/>
      <c r="H105" s="20"/>
      <c r="I105" s="22" t="str">
        <f t="shared" ref="I105" si="89">IF(COUNTIF(I106:I108,"●")&gt;0,"●","")</f>
        <v/>
      </c>
      <c r="J105" s="22" t="str">
        <f t="shared" ref="J105" si="90">IF(COUNTIF(J106:J108,"●")&gt;0,"●","")</f>
        <v/>
      </c>
      <c r="K105" s="22" t="str">
        <f t="shared" ref="K105" si="91">IF(COUNTIF(K106:K108,"●")&gt;0,"●","")</f>
        <v/>
      </c>
      <c r="L105" s="22" t="str">
        <f t="shared" ref="L105" si="92">IF(COUNTIF(L106:L108,"●")&gt;0,"●","")</f>
        <v/>
      </c>
      <c r="M105" s="22" t="str">
        <f t="shared" ref="M105" si="93">IF(COUNTIF(M106:M108,"●")&gt;0,"●","")</f>
        <v/>
      </c>
      <c r="N105" s="22" t="str">
        <f t="shared" ref="N105" si="94">IF(COUNTIF(N106:N108,"●")&gt;0,"●","")</f>
        <v>●</v>
      </c>
      <c r="O105" s="22" t="str">
        <f t="shared" ref="O105" si="95">IF(COUNTIF(O106:O108,"●")&gt;0,"●","")</f>
        <v/>
      </c>
      <c r="P105" s="22" t="str">
        <f t="shared" ref="P105" si="96">IF(COUNTIF(P106:P108,"●")&gt;0,"●","")</f>
        <v/>
      </c>
      <c r="Q105" s="22" t="str">
        <f t="shared" ref="Q105" si="97">IF(COUNTIF(Q106:Q108,"●")&gt;0,"●","")</f>
        <v/>
      </c>
      <c r="R105" s="22" t="str">
        <f t="shared" ref="R105" si="98">IF(COUNTIF(R106:R108,"●")&gt;0,"●","")</f>
        <v/>
      </c>
      <c r="S105" s="23">
        <f>IF(MIN(S106:S108)=0,"",MIN(S106:S108))</f>
        <v>44977</v>
      </c>
      <c r="T105" s="22">
        <f ca="1">IF(AND(S105="",U105="")=TRUE,"",IF(AND(S105&gt;0,U105="")=TRUE,NETWORKDAYS(S105,TODAY(),Holidays),NETWORKDAYS(S105,U105,Holidays)))</f>
        <v>16</v>
      </c>
      <c r="U105" s="23">
        <f>IF(MAX(U106:U108)=0,"",MAX(U106:U108))</f>
        <v>44998</v>
      </c>
      <c r="V105" s="23" t="str">
        <f>IF(MIN(V106:V108)=0,"",MIN(V106:V108))</f>
        <v/>
      </c>
      <c r="W105" s="22" t="str">
        <f t="shared" ca="1" si="62"/>
        <v/>
      </c>
      <c r="X105" s="23" t="str">
        <f>IF(MAX(X106:X108)=0,"",MAX(X106:X108))</f>
        <v/>
      </c>
      <c r="Y105" s="30">
        <f>IFERROR(AVERAGE(Y106:Y108),"")</f>
        <v>0</v>
      </c>
      <c r="Z105" s="22" t="str">
        <f t="shared" si="64"/>
        <v>Open</v>
      </c>
    </row>
    <row r="106" spans="2:26" ht="17.100000000000001" customHeight="1">
      <c r="B106" s="18">
        <v>4</v>
      </c>
      <c r="C106" s="31" t="s">
        <v>658</v>
      </c>
      <c r="D106" s="19"/>
      <c r="E106" s="19"/>
      <c r="F106" s="19"/>
      <c r="G106" s="19" t="s">
        <v>749</v>
      </c>
      <c r="H106" s="20"/>
      <c r="I106" s="22"/>
      <c r="J106" s="22"/>
      <c r="K106" s="22"/>
      <c r="L106" s="22"/>
      <c r="M106" s="22"/>
      <c r="N106" s="22" t="s">
        <v>660</v>
      </c>
      <c r="O106" s="22"/>
      <c r="P106" s="22"/>
      <c r="Q106" s="22"/>
      <c r="R106" s="22"/>
      <c r="S106" s="23">
        <v>44977</v>
      </c>
      <c r="T106" s="22">
        <v>5</v>
      </c>
      <c r="U106" s="23">
        <f>IF(AND(S106="",T106="")=TRUE,"",WORKDAY(S106,T106-1,Holidays))</f>
        <v>44981</v>
      </c>
      <c r="V106" s="23"/>
      <c r="W106" s="22" t="str">
        <f t="shared" ca="1" si="62"/>
        <v/>
      </c>
      <c r="X106" s="23"/>
      <c r="Y106" s="30">
        <v>0</v>
      </c>
      <c r="Z106" s="22" t="str">
        <f t="shared" si="64"/>
        <v>Open</v>
      </c>
    </row>
    <row r="107" spans="2:26" ht="17.100000000000001" customHeight="1">
      <c r="B107" s="18">
        <v>4</v>
      </c>
      <c r="C107" s="31" t="s">
        <v>658</v>
      </c>
      <c r="D107" s="19"/>
      <c r="E107" s="19"/>
      <c r="F107" s="19"/>
      <c r="G107" s="19" t="s">
        <v>750</v>
      </c>
      <c r="H107" s="20"/>
      <c r="I107" s="22"/>
      <c r="J107" s="22"/>
      <c r="K107" s="22"/>
      <c r="L107" s="22"/>
      <c r="M107" s="22"/>
      <c r="N107" s="22" t="s">
        <v>660</v>
      </c>
      <c r="O107" s="22"/>
      <c r="P107" s="22"/>
      <c r="Q107" s="22"/>
      <c r="R107" s="22"/>
      <c r="S107" s="23">
        <v>44984</v>
      </c>
      <c r="T107" s="22">
        <v>5</v>
      </c>
      <c r="U107" s="23">
        <f>IF(AND(S107="",T107="")=TRUE,"",WORKDAY(S107,T107-1,Holidays))</f>
        <v>44988</v>
      </c>
      <c r="V107" s="23"/>
      <c r="W107" s="22" t="str">
        <f t="shared" ca="1" si="62"/>
        <v/>
      </c>
      <c r="X107" s="23"/>
      <c r="Y107" s="30">
        <v>0</v>
      </c>
      <c r="Z107" s="22" t="str">
        <f t="shared" si="64"/>
        <v>Open</v>
      </c>
    </row>
    <row r="108" spans="2:26" ht="17.100000000000001" customHeight="1">
      <c r="B108" s="18">
        <v>4</v>
      </c>
      <c r="C108" s="31" t="s">
        <v>658</v>
      </c>
      <c r="D108" s="19"/>
      <c r="E108" s="19"/>
      <c r="F108" s="19"/>
      <c r="G108" s="19" t="s">
        <v>751</v>
      </c>
      <c r="H108" s="20"/>
      <c r="I108" s="22"/>
      <c r="J108" s="22"/>
      <c r="K108" s="22"/>
      <c r="L108" s="22"/>
      <c r="M108" s="22"/>
      <c r="N108" s="22" t="s">
        <v>660</v>
      </c>
      <c r="O108" s="22"/>
      <c r="P108" s="22"/>
      <c r="Q108" s="22"/>
      <c r="R108" s="22"/>
      <c r="S108" s="23">
        <v>44992</v>
      </c>
      <c r="T108" s="22">
        <v>5</v>
      </c>
      <c r="U108" s="23">
        <f>IF(AND(S108="",T108="")=TRUE,"",WORKDAY(S108,T108-1,Holidays))</f>
        <v>44998</v>
      </c>
      <c r="V108" s="23"/>
      <c r="W108" s="22" t="str">
        <f t="shared" ca="1" si="62"/>
        <v/>
      </c>
      <c r="X108" s="23"/>
      <c r="Y108" s="30">
        <v>0</v>
      </c>
      <c r="Z108" s="22" t="str">
        <f t="shared" si="64"/>
        <v>Open</v>
      </c>
    </row>
    <row r="109" spans="2:26" ht="17.100000000000001" customHeight="1">
      <c r="B109" s="18">
        <v>3</v>
      </c>
      <c r="C109" s="31" t="s">
        <v>655</v>
      </c>
      <c r="D109" s="19"/>
      <c r="E109" s="19"/>
      <c r="F109" s="19" t="s">
        <v>752</v>
      </c>
      <c r="G109" s="19"/>
      <c r="H109" s="20"/>
      <c r="I109" s="22" t="str">
        <f t="shared" ref="I109" si="99">IF(COUNTIF(I110:I112,"●")&gt;0,"●","")</f>
        <v/>
      </c>
      <c r="J109" s="22" t="str">
        <f t="shared" ref="J109" si="100">IF(COUNTIF(J110:J112,"●")&gt;0,"●","")</f>
        <v/>
      </c>
      <c r="K109" s="22" t="str">
        <f t="shared" ref="K109" si="101">IF(COUNTIF(K110:K112,"●")&gt;0,"●","")</f>
        <v/>
      </c>
      <c r="L109" s="22" t="str">
        <f t="shared" ref="L109" si="102">IF(COUNTIF(L110:L112,"●")&gt;0,"●","")</f>
        <v/>
      </c>
      <c r="M109" s="22" t="str">
        <f t="shared" ref="M109" si="103">IF(COUNTIF(M110:M112,"●")&gt;0,"●","")</f>
        <v>●</v>
      </c>
      <c r="N109" s="22" t="str">
        <f t="shared" ref="N109" si="104">IF(COUNTIF(N110:N112,"●")&gt;0,"●","")</f>
        <v/>
      </c>
      <c r="O109" s="22" t="str">
        <f t="shared" ref="O109" si="105">IF(COUNTIF(O110:O112,"●")&gt;0,"●","")</f>
        <v/>
      </c>
      <c r="P109" s="22" t="str">
        <f t="shared" ref="P109" si="106">IF(COUNTIF(P110:P112,"●")&gt;0,"●","")</f>
        <v/>
      </c>
      <c r="Q109" s="22" t="str">
        <f t="shared" ref="Q109" si="107">IF(COUNTIF(Q110:Q112,"●")&gt;0,"●","")</f>
        <v/>
      </c>
      <c r="R109" s="22" t="str">
        <f t="shared" ref="R109" si="108">IF(COUNTIF(R110:R112,"●")&gt;0,"●","")</f>
        <v/>
      </c>
      <c r="S109" s="23">
        <f>IF(MIN(S110:S112)=0,"",MIN(S110:S112))</f>
        <v>44935</v>
      </c>
      <c r="T109" s="22">
        <f ca="1">IF(AND(S109="",U109="")=TRUE,"",IF(AND(S109&gt;0,U109="")=TRUE,NETWORKDAYS(S109,TODAY(),Holidays),NETWORKDAYS(S109,U109,Holidays)))</f>
        <v>15</v>
      </c>
      <c r="U109" s="23">
        <f>IF(MAX(U110:U112)=0,"",MAX(U110:U112))</f>
        <v>44953</v>
      </c>
      <c r="V109" s="23">
        <f>IF(MIN(V110:V112)=0,"",MIN(V110:V112))</f>
        <v>44935</v>
      </c>
      <c r="W109" s="22">
        <f t="shared" ca="1" si="62"/>
        <v>362</v>
      </c>
      <c r="X109" s="23" t="str">
        <f>IF(MAX(X110:X112)=0,"",MAX(X110:X112))</f>
        <v/>
      </c>
      <c r="Y109" s="30">
        <f>IFERROR(AVERAGE(Y110:Y112),"")</f>
        <v>0.5</v>
      </c>
      <c r="Z109" s="22" t="str">
        <f t="shared" si="64"/>
        <v>In-Progress</v>
      </c>
    </row>
    <row r="110" spans="2:26" ht="17.100000000000001" customHeight="1">
      <c r="B110" s="18">
        <v>4</v>
      </c>
      <c r="C110" s="31" t="s">
        <v>658</v>
      </c>
      <c r="D110" s="19"/>
      <c r="E110" s="19"/>
      <c r="F110" s="19"/>
      <c r="G110" s="19" t="s">
        <v>753</v>
      </c>
      <c r="H110" s="20"/>
      <c r="I110" s="22"/>
      <c r="J110" s="22"/>
      <c r="K110" s="22"/>
      <c r="L110" s="22"/>
      <c r="M110" s="22" t="s">
        <v>660</v>
      </c>
      <c r="N110" s="22"/>
      <c r="O110" s="22"/>
      <c r="P110" s="22"/>
      <c r="Q110" s="22"/>
      <c r="R110" s="22"/>
      <c r="S110" s="23">
        <v>44935</v>
      </c>
      <c r="T110" s="22">
        <v>5</v>
      </c>
      <c r="U110" s="23">
        <f>IF(AND(S110="",T110="")=TRUE,"",WORKDAY(S110,T110-1,Holidays))</f>
        <v>44939</v>
      </c>
      <c r="V110" s="23">
        <v>44935</v>
      </c>
      <c r="W110" s="22">
        <f t="shared" ca="1" si="62"/>
        <v>362</v>
      </c>
      <c r="X110" s="23"/>
      <c r="Y110" s="30">
        <v>0.75</v>
      </c>
      <c r="Z110" s="22" t="str">
        <f t="shared" si="64"/>
        <v>In-Progress</v>
      </c>
    </row>
    <row r="111" spans="2:26" ht="17.100000000000001" customHeight="1">
      <c r="B111" s="18">
        <v>4</v>
      </c>
      <c r="C111" s="31" t="s">
        <v>658</v>
      </c>
      <c r="D111" s="19"/>
      <c r="E111" s="19"/>
      <c r="F111" s="19"/>
      <c r="G111" s="19" t="s">
        <v>754</v>
      </c>
      <c r="H111" s="20"/>
      <c r="I111" s="22"/>
      <c r="J111" s="22"/>
      <c r="K111" s="22"/>
      <c r="L111" s="22"/>
      <c r="M111" s="22" t="s">
        <v>660</v>
      </c>
      <c r="N111" s="22"/>
      <c r="O111" s="22"/>
      <c r="P111" s="22"/>
      <c r="Q111" s="22"/>
      <c r="R111" s="22"/>
      <c r="S111" s="23">
        <v>44942</v>
      </c>
      <c r="T111" s="22">
        <v>5</v>
      </c>
      <c r="U111" s="23">
        <f>IF(AND(S111="",T111="")=TRUE,"",WORKDAY(S111,T111-1,Holidays))</f>
        <v>44946</v>
      </c>
      <c r="V111" s="23">
        <v>44942</v>
      </c>
      <c r="W111" s="22">
        <f t="shared" ref="W111:W142" ca="1" si="109">IF(AND(V111="",X111="")=TRUE,"",IF(AND(V111&gt;0,X111="")=TRUE,NETWORKDAYS(V111,TODAY(),Holidays),NETWORKDAYS(V111,X111,Holidays)))</f>
        <v>357</v>
      </c>
      <c r="X111" s="23"/>
      <c r="Y111" s="30">
        <v>0.75</v>
      </c>
      <c r="Z111" s="22" t="str">
        <f t="shared" si="64"/>
        <v>In-Progress</v>
      </c>
    </row>
    <row r="112" spans="2:26" ht="17.100000000000001" customHeight="1">
      <c r="B112" s="18">
        <v>4</v>
      </c>
      <c r="C112" s="31" t="s">
        <v>658</v>
      </c>
      <c r="D112" s="19"/>
      <c r="E112" s="19"/>
      <c r="F112" s="19"/>
      <c r="G112" s="19" t="s">
        <v>755</v>
      </c>
      <c r="H112" s="20"/>
      <c r="I112" s="22"/>
      <c r="J112" s="22"/>
      <c r="K112" s="22"/>
      <c r="L112" s="22"/>
      <c r="M112" s="22" t="s">
        <v>660</v>
      </c>
      <c r="N112" s="22"/>
      <c r="O112" s="22"/>
      <c r="P112" s="22"/>
      <c r="Q112" s="22"/>
      <c r="R112" s="22"/>
      <c r="S112" s="23">
        <v>44949</v>
      </c>
      <c r="T112" s="22">
        <v>5</v>
      </c>
      <c r="U112" s="23">
        <f>IF(AND(S112="",T112="")=TRUE,"",WORKDAY(S112,T112-1,Holidays))</f>
        <v>44953</v>
      </c>
      <c r="V112" s="23">
        <v>44949</v>
      </c>
      <c r="W112" s="22">
        <f t="shared" ca="1" si="109"/>
        <v>352</v>
      </c>
      <c r="X112" s="23"/>
      <c r="Y112" s="30">
        <v>0</v>
      </c>
      <c r="Z112" s="22" t="str">
        <f t="shared" si="64"/>
        <v>Open</v>
      </c>
    </row>
    <row r="113" spans="2:26" ht="17.100000000000001" customHeight="1">
      <c r="B113" s="18">
        <v>3</v>
      </c>
      <c r="C113" s="31" t="s">
        <v>655</v>
      </c>
      <c r="D113" s="19"/>
      <c r="E113" s="19"/>
      <c r="F113" s="19" t="s">
        <v>756</v>
      </c>
      <c r="G113" s="19"/>
      <c r="H113" s="20"/>
      <c r="I113" s="22" t="str">
        <f t="shared" ref="I113" si="110">IF(COUNTIF(I114:I116,"●")&gt;0,"●","")</f>
        <v/>
      </c>
      <c r="J113" s="22" t="str">
        <f t="shared" ref="J113" si="111">IF(COUNTIF(J114:J116,"●")&gt;0,"●","")</f>
        <v/>
      </c>
      <c r="K113" s="22" t="str">
        <f t="shared" ref="K113" si="112">IF(COUNTIF(K114:K116,"●")&gt;0,"●","")</f>
        <v/>
      </c>
      <c r="L113" s="22" t="str">
        <f t="shared" ref="L113" si="113">IF(COUNTIF(L114:L116,"●")&gt;0,"●","")</f>
        <v/>
      </c>
      <c r="M113" s="22" t="str">
        <f t="shared" ref="M113" si="114">IF(COUNTIF(M114:M116,"●")&gt;0,"●","")</f>
        <v/>
      </c>
      <c r="N113" s="22" t="str">
        <f t="shared" ref="N113" si="115">IF(COUNTIF(N114:N116,"●")&gt;0,"●","")</f>
        <v>●</v>
      </c>
      <c r="O113" s="22" t="str">
        <f t="shared" ref="O113" si="116">IF(COUNTIF(O114:O116,"●")&gt;0,"●","")</f>
        <v/>
      </c>
      <c r="P113" s="22" t="str">
        <f t="shared" ref="P113" si="117">IF(COUNTIF(P114:P116,"●")&gt;0,"●","")</f>
        <v/>
      </c>
      <c r="Q113" s="22" t="str">
        <f t="shared" ref="Q113" si="118">IF(COUNTIF(Q114:Q116,"●")&gt;0,"●","")</f>
        <v/>
      </c>
      <c r="R113" s="22" t="str">
        <f t="shared" ref="R113" si="119">IF(COUNTIF(R114:R116,"●")&gt;0,"●","")</f>
        <v/>
      </c>
      <c r="S113" s="23">
        <f>IF(MIN(S114:S116)=0,"",MIN(S114:S116))</f>
        <v>44935</v>
      </c>
      <c r="T113" s="22">
        <f ca="1">IF(AND(S113="",U113="")=TRUE,"",IF(AND(S113&gt;0,U113="")=TRUE,NETWORKDAYS(S113,TODAY(),Holidays),NETWORKDAYS(S113,U113,Holidays)))</f>
        <v>15</v>
      </c>
      <c r="U113" s="23">
        <f>IF(MAX(U114:U116)=0,"",MAX(U114:U116))</f>
        <v>44953</v>
      </c>
      <c r="V113" s="23">
        <f>IF(MIN(V114:V116)=0,"",MIN(V114:V116))</f>
        <v>44935</v>
      </c>
      <c r="W113" s="22">
        <f t="shared" ca="1" si="109"/>
        <v>362</v>
      </c>
      <c r="X113" s="23" t="str">
        <f>IF(MAX(X114:X116)=0,"",MAX(X114:X116))</f>
        <v/>
      </c>
      <c r="Y113" s="30">
        <f>IFERROR(AVERAGE(Y114:Y116),"")</f>
        <v>0.5</v>
      </c>
      <c r="Z113" s="22" t="str">
        <f t="shared" si="64"/>
        <v>In-Progress</v>
      </c>
    </row>
    <row r="114" spans="2:26" ht="17.100000000000001" customHeight="1">
      <c r="B114" s="18">
        <v>4</v>
      </c>
      <c r="C114" s="31" t="s">
        <v>658</v>
      </c>
      <c r="D114" s="19"/>
      <c r="E114" s="19"/>
      <c r="F114" s="19"/>
      <c r="G114" s="19" t="s">
        <v>757</v>
      </c>
      <c r="H114" s="20"/>
      <c r="I114" s="22"/>
      <c r="J114" s="22"/>
      <c r="K114" s="22"/>
      <c r="L114" s="22"/>
      <c r="M114" s="22"/>
      <c r="N114" s="22" t="s">
        <v>660</v>
      </c>
      <c r="O114" s="22"/>
      <c r="P114" s="22"/>
      <c r="Q114" s="22"/>
      <c r="R114" s="22"/>
      <c r="S114" s="23">
        <v>44935</v>
      </c>
      <c r="T114" s="22">
        <v>5</v>
      </c>
      <c r="U114" s="23">
        <f>IF(AND(S114="",T114="")=TRUE,"",WORKDAY(S114,T114-1,Holidays))</f>
        <v>44939</v>
      </c>
      <c r="V114" s="23">
        <v>44935</v>
      </c>
      <c r="W114" s="22">
        <f t="shared" ca="1" si="109"/>
        <v>362</v>
      </c>
      <c r="X114" s="23"/>
      <c r="Y114" s="30">
        <v>0.75</v>
      </c>
      <c r="Z114" s="22" t="str">
        <f t="shared" si="64"/>
        <v>In-Progress</v>
      </c>
    </row>
    <row r="115" spans="2:26" ht="17.100000000000001" customHeight="1">
      <c r="B115" s="18">
        <v>4</v>
      </c>
      <c r="C115" s="31" t="s">
        <v>658</v>
      </c>
      <c r="D115" s="19"/>
      <c r="E115" s="19"/>
      <c r="F115" s="19"/>
      <c r="G115" s="19" t="s">
        <v>758</v>
      </c>
      <c r="H115" s="20"/>
      <c r="I115" s="22"/>
      <c r="J115" s="22"/>
      <c r="K115" s="22"/>
      <c r="L115" s="22"/>
      <c r="M115" s="22"/>
      <c r="N115" s="22" t="s">
        <v>660</v>
      </c>
      <c r="O115" s="22"/>
      <c r="P115" s="22"/>
      <c r="Q115" s="22"/>
      <c r="R115" s="22"/>
      <c r="S115" s="23">
        <v>44942</v>
      </c>
      <c r="T115" s="22">
        <v>5</v>
      </c>
      <c r="U115" s="23">
        <f>IF(AND(S115="",T115="")=TRUE,"",WORKDAY(S115,T115-1,Holidays))</f>
        <v>44946</v>
      </c>
      <c r="V115" s="23">
        <v>44942</v>
      </c>
      <c r="W115" s="22">
        <f t="shared" ca="1" si="109"/>
        <v>357</v>
      </c>
      <c r="X115" s="23"/>
      <c r="Y115" s="30">
        <v>0.75</v>
      </c>
      <c r="Z115" s="22" t="str">
        <f t="shared" si="64"/>
        <v>In-Progress</v>
      </c>
    </row>
    <row r="116" spans="2:26" ht="17.100000000000001" customHeight="1">
      <c r="B116" s="18">
        <v>4</v>
      </c>
      <c r="C116" s="31" t="s">
        <v>658</v>
      </c>
      <c r="D116" s="19"/>
      <c r="E116" s="19"/>
      <c r="F116" s="19"/>
      <c r="G116" s="19" t="s">
        <v>759</v>
      </c>
      <c r="H116" s="20"/>
      <c r="I116" s="22"/>
      <c r="J116" s="22"/>
      <c r="K116" s="22"/>
      <c r="L116" s="22"/>
      <c r="M116" s="22"/>
      <c r="N116" s="22" t="s">
        <v>660</v>
      </c>
      <c r="O116" s="22"/>
      <c r="P116" s="22"/>
      <c r="Q116" s="22"/>
      <c r="R116" s="22"/>
      <c r="S116" s="23">
        <v>44949</v>
      </c>
      <c r="T116" s="22">
        <v>5</v>
      </c>
      <c r="U116" s="23">
        <f>IF(AND(S116="",T116="")=TRUE,"",WORKDAY(S116,T116-1,Holidays))</f>
        <v>44953</v>
      </c>
      <c r="V116" s="23">
        <v>44949</v>
      </c>
      <c r="W116" s="22">
        <f t="shared" ca="1" si="109"/>
        <v>352</v>
      </c>
      <c r="X116" s="23"/>
      <c r="Y116" s="30">
        <v>0</v>
      </c>
      <c r="Z116" s="22" t="str">
        <f t="shared" si="64"/>
        <v>Open</v>
      </c>
    </row>
    <row r="117" spans="2:26" ht="17.100000000000001" customHeight="1">
      <c r="B117" s="18">
        <v>3</v>
      </c>
      <c r="C117" s="31" t="s">
        <v>655</v>
      </c>
      <c r="D117" s="19"/>
      <c r="E117" s="19"/>
      <c r="F117" s="19" t="s">
        <v>760</v>
      </c>
      <c r="G117" s="19"/>
      <c r="H117" s="20"/>
      <c r="I117" s="22" t="str">
        <f t="shared" ref="I117" si="120">IF(COUNTIF(I118:I120,"●")&gt;0,"●","")</f>
        <v/>
      </c>
      <c r="J117" s="22" t="str">
        <f t="shared" ref="J117" si="121">IF(COUNTIF(J118:J120,"●")&gt;0,"●","")</f>
        <v/>
      </c>
      <c r="K117" s="22" t="str">
        <f t="shared" ref="K117" si="122">IF(COUNTIF(K118:K120,"●")&gt;0,"●","")</f>
        <v/>
      </c>
      <c r="L117" s="22" t="str">
        <f t="shared" ref="L117" si="123">IF(COUNTIF(L118:L120,"●")&gt;0,"●","")</f>
        <v/>
      </c>
      <c r="M117" s="22" t="str">
        <f t="shared" ref="M117" si="124">IF(COUNTIF(M118:M120,"●")&gt;0,"●","")</f>
        <v/>
      </c>
      <c r="N117" s="22" t="str">
        <f t="shared" ref="N117" si="125">IF(COUNTIF(N118:N120,"●")&gt;0,"●","")</f>
        <v/>
      </c>
      <c r="O117" s="22" t="str">
        <f t="shared" ref="O117" si="126">IF(COUNTIF(O118:O120,"●")&gt;0,"●","")</f>
        <v>●</v>
      </c>
      <c r="P117" s="22" t="str">
        <f t="shared" ref="P117" si="127">IF(COUNTIF(P118:P120,"●")&gt;0,"●","")</f>
        <v/>
      </c>
      <c r="Q117" s="22" t="str">
        <f t="shared" ref="Q117" si="128">IF(COUNTIF(Q118:Q120,"●")&gt;0,"●","")</f>
        <v/>
      </c>
      <c r="R117" s="22" t="str">
        <f t="shared" ref="R117" si="129">IF(COUNTIF(R118:R120,"●")&gt;0,"●","")</f>
        <v/>
      </c>
      <c r="S117" s="23">
        <f>IF(MIN(S118:S120)=0,"",MIN(S118:S120))</f>
        <v>44935</v>
      </c>
      <c r="T117" s="22">
        <f ca="1">IF(AND(S117="",U117="")=TRUE,"",IF(AND(S117&gt;0,U117="")=TRUE,NETWORKDAYS(S117,TODAY(),Holidays),NETWORKDAYS(S117,U117,Holidays)))</f>
        <v>15</v>
      </c>
      <c r="U117" s="23">
        <f>IF(MAX(U118:U120)=0,"",MAX(U118:U120))</f>
        <v>44953</v>
      </c>
      <c r="V117" s="23">
        <f>IF(MIN(V118:V120)=0,"",MIN(V118:V120))</f>
        <v>44935</v>
      </c>
      <c r="W117" s="22">
        <f t="shared" ca="1" si="109"/>
        <v>362</v>
      </c>
      <c r="X117" s="23" t="str">
        <f>IF(MAX(X118:X120)=0,"",MAX(X118:X120))</f>
        <v/>
      </c>
      <c r="Y117" s="30">
        <f>IFERROR(AVERAGE(Y118:Y120),"")</f>
        <v>0.5</v>
      </c>
      <c r="Z117" s="22" t="str">
        <f t="shared" si="64"/>
        <v>In-Progress</v>
      </c>
    </row>
    <row r="118" spans="2:26" ht="17.100000000000001" customHeight="1">
      <c r="B118" s="18">
        <v>4</v>
      </c>
      <c r="C118" s="31" t="s">
        <v>658</v>
      </c>
      <c r="D118" s="19"/>
      <c r="E118" s="19"/>
      <c r="F118" s="19"/>
      <c r="G118" s="19" t="s">
        <v>761</v>
      </c>
      <c r="H118" s="20"/>
      <c r="I118" s="22"/>
      <c r="J118" s="22"/>
      <c r="K118" s="22"/>
      <c r="L118" s="22"/>
      <c r="M118" s="22"/>
      <c r="N118" s="22"/>
      <c r="O118" s="22" t="s">
        <v>660</v>
      </c>
      <c r="P118" s="22"/>
      <c r="Q118" s="22"/>
      <c r="R118" s="22"/>
      <c r="S118" s="23">
        <v>44935</v>
      </c>
      <c r="T118" s="22">
        <v>5</v>
      </c>
      <c r="U118" s="23">
        <f>IF(AND(S118="",T118="")=TRUE,"",WORKDAY(S118,T118-1,Holidays))</f>
        <v>44939</v>
      </c>
      <c r="V118" s="23">
        <v>44935</v>
      </c>
      <c r="W118" s="22">
        <f t="shared" ca="1" si="109"/>
        <v>362</v>
      </c>
      <c r="X118" s="23"/>
      <c r="Y118" s="30">
        <v>0.75</v>
      </c>
      <c r="Z118" s="22" t="str">
        <f t="shared" si="64"/>
        <v>In-Progress</v>
      </c>
    </row>
    <row r="119" spans="2:26" ht="17.100000000000001" customHeight="1">
      <c r="B119" s="18">
        <v>4</v>
      </c>
      <c r="C119" s="31" t="s">
        <v>658</v>
      </c>
      <c r="D119" s="19"/>
      <c r="E119" s="19"/>
      <c r="F119" s="19"/>
      <c r="G119" s="19" t="s">
        <v>762</v>
      </c>
      <c r="H119" s="20"/>
      <c r="I119" s="22"/>
      <c r="J119" s="22"/>
      <c r="K119" s="22"/>
      <c r="L119" s="22"/>
      <c r="M119" s="22"/>
      <c r="N119" s="22"/>
      <c r="O119" s="22" t="s">
        <v>660</v>
      </c>
      <c r="P119" s="22"/>
      <c r="Q119" s="22"/>
      <c r="R119" s="22"/>
      <c r="S119" s="23">
        <v>44942</v>
      </c>
      <c r="T119" s="22">
        <v>5</v>
      </c>
      <c r="U119" s="23">
        <f>IF(AND(S119="",T119="")=TRUE,"",WORKDAY(S119,T119-1,Holidays))</f>
        <v>44946</v>
      </c>
      <c r="V119" s="23">
        <v>44942</v>
      </c>
      <c r="W119" s="22">
        <f t="shared" ca="1" si="109"/>
        <v>357</v>
      </c>
      <c r="X119" s="23"/>
      <c r="Y119" s="30">
        <v>0.75</v>
      </c>
      <c r="Z119" s="22" t="str">
        <f t="shared" si="64"/>
        <v>In-Progress</v>
      </c>
    </row>
    <row r="120" spans="2:26" ht="17.100000000000001" customHeight="1">
      <c r="B120" s="18">
        <v>4</v>
      </c>
      <c r="C120" s="31" t="s">
        <v>658</v>
      </c>
      <c r="D120" s="19"/>
      <c r="E120" s="19"/>
      <c r="F120" s="19"/>
      <c r="G120" s="19" t="s">
        <v>763</v>
      </c>
      <c r="H120" s="20"/>
      <c r="I120" s="22"/>
      <c r="J120" s="22"/>
      <c r="K120" s="22"/>
      <c r="L120" s="22"/>
      <c r="M120" s="22"/>
      <c r="N120" s="22"/>
      <c r="O120" s="22" t="s">
        <v>660</v>
      </c>
      <c r="P120" s="22"/>
      <c r="Q120" s="22"/>
      <c r="R120" s="22"/>
      <c r="S120" s="23">
        <v>44949</v>
      </c>
      <c r="T120" s="22">
        <v>5</v>
      </c>
      <c r="U120" s="23">
        <f>IF(AND(S120="",T120="")=TRUE,"",WORKDAY(S120,T120-1,Holidays))</f>
        <v>44953</v>
      </c>
      <c r="V120" s="23">
        <v>44949</v>
      </c>
      <c r="W120" s="22">
        <f t="shared" ca="1" si="109"/>
        <v>352</v>
      </c>
      <c r="X120" s="23"/>
      <c r="Y120" s="30">
        <v>0</v>
      </c>
      <c r="Z120" s="22" t="str">
        <f t="shared" si="64"/>
        <v>Open</v>
      </c>
    </row>
    <row r="121" spans="2:26" ht="17.100000000000001" customHeight="1">
      <c r="B121" s="18">
        <v>3</v>
      </c>
      <c r="C121" s="31" t="s">
        <v>655</v>
      </c>
      <c r="D121" s="19"/>
      <c r="E121" s="19"/>
      <c r="F121" s="19" t="s">
        <v>764</v>
      </c>
      <c r="G121" s="19"/>
      <c r="H121" s="20"/>
      <c r="I121" s="22" t="str">
        <f t="shared" ref="I121" si="130">IF(COUNTIF(I122:I124,"●")&gt;0,"●","")</f>
        <v/>
      </c>
      <c r="J121" s="22" t="str">
        <f t="shared" ref="J121" si="131">IF(COUNTIF(J122:J124,"●")&gt;0,"●","")</f>
        <v/>
      </c>
      <c r="K121" s="22" t="str">
        <f t="shared" ref="K121" si="132">IF(COUNTIF(K122:K124,"●")&gt;0,"●","")</f>
        <v/>
      </c>
      <c r="L121" s="22" t="str">
        <f t="shared" ref="L121" si="133">IF(COUNTIF(L122:L124,"●")&gt;0,"●","")</f>
        <v/>
      </c>
      <c r="M121" s="22" t="str">
        <f t="shared" ref="M121" si="134">IF(COUNTIF(M122:M124,"●")&gt;0,"●","")</f>
        <v/>
      </c>
      <c r="N121" s="22" t="str">
        <f t="shared" ref="N121" si="135">IF(COUNTIF(N122:N124,"●")&gt;0,"●","")</f>
        <v/>
      </c>
      <c r="O121" s="22" t="str">
        <f t="shared" ref="O121" si="136">IF(COUNTIF(O122:O124,"●")&gt;0,"●","")</f>
        <v/>
      </c>
      <c r="P121" s="22" t="str">
        <f t="shared" ref="P121" si="137">IF(COUNTIF(P122:P124,"●")&gt;0,"●","")</f>
        <v>●</v>
      </c>
      <c r="Q121" s="22" t="str">
        <f t="shared" ref="Q121" si="138">IF(COUNTIF(Q122:Q124,"●")&gt;0,"●","")</f>
        <v/>
      </c>
      <c r="R121" s="22" t="str">
        <f t="shared" ref="R121" si="139">IF(COUNTIF(R122:R124,"●")&gt;0,"●","")</f>
        <v/>
      </c>
      <c r="S121" s="23">
        <f>IF(MIN(S122:S124)=0,"",MIN(S122:S124))</f>
        <v>44935</v>
      </c>
      <c r="T121" s="22">
        <f ca="1">IF(AND(S121="",U121="")=TRUE,"",IF(AND(S121&gt;0,U121="")=TRUE,NETWORKDAYS(S121,TODAY(),Holidays),NETWORKDAYS(S121,U121,Holidays)))</f>
        <v>15</v>
      </c>
      <c r="U121" s="23">
        <f>IF(MAX(U122:U124)=0,"",MAX(U122:U124))</f>
        <v>44953</v>
      </c>
      <c r="V121" s="23" t="str">
        <f>IF(MIN(V122:V124)=0,"",MIN(V122:V124))</f>
        <v/>
      </c>
      <c r="W121" s="22" t="str">
        <f t="shared" ca="1" si="109"/>
        <v/>
      </c>
      <c r="X121" s="23" t="str">
        <f>IF(MAX(X122:X124)=0,"",MAX(X122:X124))</f>
        <v/>
      </c>
      <c r="Y121" s="30">
        <f>IFERROR(AVERAGE(Y122:Y124),"")</f>
        <v>0</v>
      </c>
      <c r="Z121" s="22" t="str">
        <f t="shared" si="64"/>
        <v>Open</v>
      </c>
    </row>
    <row r="122" spans="2:26" ht="17.100000000000001" customHeight="1">
      <c r="B122" s="18">
        <v>4</v>
      </c>
      <c r="C122" s="31" t="s">
        <v>658</v>
      </c>
      <c r="D122" s="19"/>
      <c r="E122" s="19"/>
      <c r="F122" s="19"/>
      <c r="G122" s="19" t="s">
        <v>765</v>
      </c>
      <c r="H122" s="20"/>
      <c r="I122" s="22"/>
      <c r="J122" s="22"/>
      <c r="K122" s="22"/>
      <c r="L122" s="22"/>
      <c r="M122" s="22"/>
      <c r="N122" s="22"/>
      <c r="O122" s="22"/>
      <c r="P122" s="22" t="s">
        <v>660</v>
      </c>
      <c r="Q122" s="22"/>
      <c r="R122" s="22"/>
      <c r="S122" s="23">
        <v>44935</v>
      </c>
      <c r="T122" s="22">
        <v>5</v>
      </c>
      <c r="U122" s="23">
        <f>IF(AND(S122="",T122="")=TRUE,"",WORKDAY(S122,T122-1,Holidays))</f>
        <v>44939</v>
      </c>
      <c r="V122" s="23"/>
      <c r="W122" s="22" t="str">
        <f t="shared" ca="1" si="109"/>
        <v/>
      </c>
      <c r="X122" s="23"/>
      <c r="Y122" s="30">
        <v>0</v>
      </c>
      <c r="Z122" s="22" t="str">
        <f t="shared" si="64"/>
        <v>Open</v>
      </c>
    </row>
    <row r="123" spans="2:26" ht="17.100000000000001" customHeight="1">
      <c r="B123" s="18">
        <v>4</v>
      </c>
      <c r="C123" s="31" t="s">
        <v>658</v>
      </c>
      <c r="D123" s="19"/>
      <c r="E123" s="19"/>
      <c r="F123" s="19"/>
      <c r="G123" s="19" t="s">
        <v>766</v>
      </c>
      <c r="H123" s="20"/>
      <c r="I123" s="22"/>
      <c r="J123" s="22"/>
      <c r="K123" s="22"/>
      <c r="L123" s="22"/>
      <c r="M123" s="22"/>
      <c r="N123" s="22"/>
      <c r="O123" s="22"/>
      <c r="P123" s="22" t="s">
        <v>660</v>
      </c>
      <c r="Q123" s="22"/>
      <c r="R123" s="22"/>
      <c r="S123" s="23">
        <v>44942</v>
      </c>
      <c r="T123" s="22">
        <v>5</v>
      </c>
      <c r="U123" s="23">
        <f>IF(AND(S123="",T123="")=TRUE,"",WORKDAY(S123,T123-1,Holidays))</f>
        <v>44946</v>
      </c>
      <c r="V123" s="23"/>
      <c r="W123" s="22" t="str">
        <f t="shared" ca="1" si="109"/>
        <v/>
      </c>
      <c r="X123" s="23"/>
      <c r="Y123" s="30">
        <v>0</v>
      </c>
      <c r="Z123" s="22" t="str">
        <f t="shared" si="64"/>
        <v>Open</v>
      </c>
    </row>
    <row r="124" spans="2:26" ht="17.100000000000001" customHeight="1">
      <c r="B124" s="18">
        <v>4</v>
      </c>
      <c r="C124" s="31" t="s">
        <v>658</v>
      </c>
      <c r="D124" s="19"/>
      <c r="E124" s="19"/>
      <c r="F124" s="19"/>
      <c r="G124" s="19" t="s">
        <v>767</v>
      </c>
      <c r="H124" s="20"/>
      <c r="I124" s="22"/>
      <c r="J124" s="22"/>
      <c r="K124" s="22"/>
      <c r="L124" s="22"/>
      <c r="M124" s="22"/>
      <c r="N124" s="22"/>
      <c r="O124" s="22"/>
      <c r="P124" s="22" t="s">
        <v>660</v>
      </c>
      <c r="Q124" s="22"/>
      <c r="R124" s="22"/>
      <c r="S124" s="23">
        <v>44949</v>
      </c>
      <c r="T124" s="22">
        <v>5</v>
      </c>
      <c r="U124" s="23">
        <f>IF(AND(S124="",T124="")=TRUE,"",WORKDAY(S124,T124-1,Holidays))</f>
        <v>44953</v>
      </c>
      <c r="V124" s="23"/>
      <c r="W124" s="22" t="str">
        <f t="shared" ca="1" si="109"/>
        <v/>
      </c>
      <c r="X124" s="23"/>
      <c r="Y124" s="30">
        <v>0</v>
      </c>
      <c r="Z124" s="22" t="str">
        <f t="shared" si="64"/>
        <v>Open</v>
      </c>
    </row>
    <row r="125" spans="2:26" ht="17.100000000000001" customHeight="1">
      <c r="B125" s="18">
        <v>3</v>
      </c>
      <c r="C125" s="31" t="s">
        <v>655</v>
      </c>
      <c r="D125" s="19"/>
      <c r="E125" s="19"/>
      <c r="F125" s="19" t="s">
        <v>768</v>
      </c>
      <c r="G125" s="19"/>
      <c r="H125" s="20"/>
      <c r="I125" s="22" t="str">
        <f t="shared" ref="I125" si="140">IF(COUNTIF(I126:I128,"●")&gt;0,"●","")</f>
        <v/>
      </c>
      <c r="J125" s="22" t="str">
        <f t="shared" ref="J125" si="141">IF(COUNTIF(J126:J128,"●")&gt;0,"●","")</f>
        <v/>
      </c>
      <c r="K125" s="22" t="str">
        <f t="shared" ref="K125" si="142">IF(COUNTIF(K126:K128,"●")&gt;0,"●","")</f>
        <v/>
      </c>
      <c r="L125" s="22" t="str">
        <f t="shared" ref="L125" si="143">IF(COUNTIF(L126:L128,"●")&gt;0,"●","")</f>
        <v/>
      </c>
      <c r="M125" s="22" t="str">
        <f t="shared" ref="M125" si="144">IF(COUNTIF(M126:M128,"●")&gt;0,"●","")</f>
        <v/>
      </c>
      <c r="N125" s="22" t="str">
        <f t="shared" ref="N125" si="145">IF(COUNTIF(N126:N128,"●")&gt;0,"●","")</f>
        <v/>
      </c>
      <c r="O125" s="22" t="str">
        <f t="shared" ref="O125" si="146">IF(COUNTIF(O126:O128,"●")&gt;0,"●","")</f>
        <v/>
      </c>
      <c r="P125" s="22" t="str">
        <f t="shared" ref="P125" si="147">IF(COUNTIF(P126:P128,"●")&gt;0,"●","")</f>
        <v/>
      </c>
      <c r="Q125" s="22" t="str">
        <f t="shared" ref="Q125" si="148">IF(COUNTIF(Q126:Q128,"●")&gt;0,"●","")</f>
        <v>●</v>
      </c>
      <c r="R125" s="22" t="str">
        <f t="shared" ref="R125" si="149">IF(COUNTIF(R126:R128,"●")&gt;0,"●","")</f>
        <v/>
      </c>
      <c r="S125" s="23">
        <f>IF(MIN(S126:S128)=0,"",MIN(S126:S128))</f>
        <v>44935</v>
      </c>
      <c r="T125" s="22">
        <f ca="1">IF(AND(S125="",U125="")=TRUE,"",IF(AND(S125&gt;0,U125="")=TRUE,NETWORKDAYS(S125,TODAY(),Holidays),NETWORKDAYS(S125,U125,Holidays)))</f>
        <v>15</v>
      </c>
      <c r="U125" s="23">
        <f>IF(MAX(U126:U128)=0,"",MAX(U126:U128))</f>
        <v>44953</v>
      </c>
      <c r="V125" s="23" t="str">
        <f>IF(MIN(V126:V128)=0,"",MIN(V126:V128))</f>
        <v/>
      </c>
      <c r="W125" s="22" t="str">
        <f t="shared" ca="1" si="109"/>
        <v/>
      </c>
      <c r="X125" s="23" t="str">
        <f>IF(MAX(X126:X128)=0,"",MAX(X126:X128))</f>
        <v/>
      </c>
      <c r="Y125" s="30">
        <f>IFERROR(AVERAGE(Y126:Y128),"")</f>
        <v>0</v>
      </c>
      <c r="Z125" s="22" t="str">
        <f t="shared" si="64"/>
        <v>Open</v>
      </c>
    </row>
    <row r="126" spans="2:26" ht="17.100000000000001" customHeight="1">
      <c r="B126" s="18">
        <v>4</v>
      </c>
      <c r="C126" s="31" t="s">
        <v>658</v>
      </c>
      <c r="D126" s="19"/>
      <c r="E126" s="19"/>
      <c r="F126" s="19"/>
      <c r="G126" s="19" t="s">
        <v>769</v>
      </c>
      <c r="H126" s="20"/>
      <c r="I126" s="22"/>
      <c r="J126" s="22"/>
      <c r="K126" s="22"/>
      <c r="L126" s="22"/>
      <c r="M126" s="22"/>
      <c r="N126" s="22"/>
      <c r="O126" s="22"/>
      <c r="P126" s="22"/>
      <c r="Q126" s="22" t="s">
        <v>660</v>
      </c>
      <c r="R126" s="22"/>
      <c r="S126" s="23">
        <v>44935</v>
      </c>
      <c r="T126" s="22">
        <v>5</v>
      </c>
      <c r="U126" s="23">
        <f>IF(AND(S126="",T126="")=TRUE,"",WORKDAY(S126,T126-1,Holidays))</f>
        <v>44939</v>
      </c>
      <c r="V126" s="23"/>
      <c r="W126" s="22" t="str">
        <f t="shared" ca="1" si="109"/>
        <v/>
      </c>
      <c r="X126" s="23"/>
      <c r="Y126" s="30">
        <v>0</v>
      </c>
      <c r="Z126" s="22" t="str">
        <f t="shared" si="64"/>
        <v>Open</v>
      </c>
    </row>
    <row r="127" spans="2:26" ht="17.100000000000001" customHeight="1">
      <c r="B127" s="18">
        <v>4</v>
      </c>
      <c r="C127" s="31" t="s">
        <v>658</v>
      </c>
      <c r="D127" s="19"/>
      <c r="E127" s="19"/>
      <c r="F127" s="19"/>
      <c r="G127" s="19" t="s">
        <v>770</v>
      </c>
      <c r="H127" s="20"/>
      <c r="I127" s="22"/>
      <c r="J127" s="22"/>
      <c r="K127" s="22"/>
      <c r="L127" s="22"/>
      <c r="M127" s="22"/>
      <c r="N127" s="22"/>
      <c r="O127" s="22"/>
      <c r="P127" s="22"/>
      <c r="Q127" s="22" t="s">
        <v>660</v>
      </c>
      <c r="R127" s="22"/>
      <c r="S127" s="23">
        <v>44942</v>
      </c>
      <c r="T127" s="22">
        <v>5</v>
      </c>
      <c r="U127" s="23">
        <f>IF(AND(S127="",T127="")=TRUE,"",WORKDAY(S127,T127-1,Holidays))</f>
        <v>44946</v>
      </c>
      <c r="V127" s="23"/>
      <c r="W127" s="22" t="str">
        <f t="shared" ca="1" si="109"/>
        <v/>
      </c>
      <c r="X127" s="23"/>
      <c r="Y127" s="30">
        <v>0</v>
      </c>
      <c r="Z127" s="22" t="str">
        <f t="shared" si="64"/>
        <v>Open</v>
      </c>
    </row>
    <row r="128" spans="2:26" ht="17.100000000000001" customHeight="1">
      <c r="B128" s="18">
        <v>4</v>
      </c>
      <c r="C128" s="31" t="s">
        <v>658</v>
      </c>
      <c r="D128" s="19"/>
      <c r="E128" s="19"/>
      <c r="F128" s="19"/>
      <c r="G128" s="19" t="s">
        <v>771</v>
      </c>
      <c r="H128" s="20"/>
      <c r="I128" s="22"/>
      <c r="J128" s="22"/>
      <c r="K128" s="22"/>
      <c r="L128" s="22"/>
      <c r="M128" s="22"/>
      <c r="N128" s="22"/>
      <c r="O128" s="22"/>
      <c r="P128" s="22"/>
      <c r="Q128" s="22" t="s">
        <v>660</v>
      </c>
      <c r="R128" s="22"/>
      <c r="S128" s="23">
        <v>44949</v>
      </c>
      <c r="T128" s="22">
        <v>5</v>
      </c>
      <c r="U128" s="23">
        <f>IF(AND(S128="",T128="")=TRUE,"",WORKDAY(S128,T128-1,Holidays))</f>
        <v>44953</v>
      </c>
      <c r="V128" s="23"/>
      <c r="W128" s="22" t="str">
        <f t="shared" ca="1" si="109"/>
        <v/>
      </c>
      <c r="X128" s="23"/>
      <c r="Y128" s="30">
        <v>0</v>
      </c>
      <c r="Z128" s="22" t="str">
        <f t="shared" si="64"/>
        <v>Open</v>
      </c>
    </row>
    <row r="129" spans="2:26" ht="17.100000000000001" customHeight="1">
      <c r="B129" s="18">
        <v>3</v>
      </c>
      <c r="C129" s="31" t="s">
        <v>655</v>
      </c>
      <c r="D129" s="19"/>
      <c r="E129" s="19"/>
      <c r="F129" s="19" t="s">
        <v>772</v>
      </c>
      <c r="G129" s="19"/>
      <c r="H129" s="20"/>
      <c r="I129" s="22" t="str">
        <f t="shared" ref="I129" si="150">IF(COUNTIF(I130:I132,"●")&gt;0,"●","")</f>
        <v/>
      </c>
      <c r="J129" s="22" t="str">
        <f t="shared" ref="J129" si="151">IF(COUNTIF(J130:J132,"●")&gt;0,"●","")</f>
        <v/>
      </c>
      <c r="K129" s="22" t="str">
        <f t="shared" ref="K129" si="152">IF(COUNTIF(K130:K132,"●")&gt;0,"●","")</f>
        <v/>
      </c>
      <c r="L129" s="22" t="str">
        <f t="shared" ref="L129" si="153">IF(COUNTIF(L130:L132,"●")&gt;0,"●","")</f>
        <v/>
      </c>
      <c r="M129" s="22" t="str">
        <f t="shared" ref="M129" si="154">IF(COUNTIF(M130:M132,"●")&gt;0,"●","")</f>
        <v/>
      </c>
      <c r="N129" s="22" t="str">
        <f t="shared" ref="N129" si="155">IF(COUNTIF(N130:N132,"●")&gt;0,"●","")</f>
        <v/>
      </c>
      <c r="O129" s="22" t="str">
        <f t="shared" ref="O129" si="156">IF(COUNTIF(O130:O132,"●")&gt;0,"●","")</f>
        <v/>
      </c>
      <c r="P129" s="22" t="str">
        <f t="shared" ref="P129" si="157">IF(COUNTIF(P130:P132,"●")&gt;0,"●","")</f>
        <v/>
      </c>
      <c r="Q129" s="22" t="str">
        <f t="shared" ref="Q129" si="158">IF(COUNTIF(Q130:Q132,"●")&gt;0,"●","")</f>
        <v/>
      </c>
      <c r="R129" s="22" t="str">
        <f t="shared" ref="R129" si="159">IF(COUNTIF(R130:R132,"●")&gt;0,"●","")</f>
        <v>●</v>
      </c>
      <c r="S129" s="23">
        <f>IF(MIN(S130:S132)=0,"",MIN(S130:S132))</f>
        <v>44935</v>
      </c>
      <c r="T129" s="22">
        <f ca="1">IF(AND(S129="",U129="")=TRUE,"",IF(AND(S129&gt;0,U129="")=TRUE,NETWORKDAYS(S129,TODAY(),Holidays),NETWORKDAYS(S129,U129,Holidays)))</f>
        <v>15</v>
      </c>
      <c r="U129" s="23">
        <f>IF(MAX(U130:U132)=0,"",MAX(U130:U132))</f>
        <v>44953</v>
      </c>
      <c r="V129" s="23" t="str">
        <f>IF(MIN(V130:V132)=0,"",MIN(V130:V132))</f>
        <v/>
      </c>
      <c r="W129" s="22" t="str">
        <f t="shared" ca="1" si="109"/>
        <v/>
      </c>
      <c r="X129" s="23" t="str">
        <f>IF(MAX(X130:X132)=0,"",MAX(X130:X132))</f>
        <v/>
      </c>
      <c r="Y129" s="30">
        <f>IFERROR(AVERAGE(Y130:Y132),"")</f>
        <v>0</v>
      </c>
      <c r="Z129" s="22" t="str">
        <f t="shared" si="64"/>
        <v>Open</v>
      </c>
    </row>
    <row r="130" spans="2:26" ht="17.100000000000001" customHeight="1">
      <c r="B130" s="18">
        <v>4</v>
      </c>
      <c r="C130" s="31" t="s">
        <v>658</v>
      </c>
      <c r="D130" s="19"/>
      <c r="E130" s="19"/>
      <c r="F130" s="19"/>
      <c r="G130" s="19" t="s">
        <v>773</v>
      </c>
      <c r="H130" s="20"/>
      <c r="I130" s="22"/>
      <c r="J130" s="22"/>
      <c r="K130" s="22"/>
      <c r="L130" s="22"/>
      <c r="M130" s="22"/>
      <c r="N130" s="22"/>
      <c r="O130" s="22"/>
      <c r="P130" s="22"/>
      <c r="Q130" s="22"/>
      <c r="R130" s="22" t="s">
        <v>660</v>
      </c>
      <c r="S130" s="23">
        <v>44935</v>
      </c>
      <c r="T130" s="22">
        <v>5</v>
      </c>
      <c r="U130" s="23">
        <f>IF(AND(S130="",T130="")=TRUE,"",WORKDAY(S130,T130-1,Holidays))</f>
        <v>44939</v>
      </c>
      <c r="V130" s="23"/>
      <c r="W130" s="22" t="str">
        <f t="shared" ca="1" si="109"/>
        <v/>
      </c>
      <c r="X130" s="23"/>
      <c r="Y130" s="30">
        <v>0</v>
      </c>
      <c r="Z130" s="22" t="str">
        <f t="shared" si="64"/>
        <v>Open</v>
      </c>
    </row>
    <row r="131" spans="2:26" ht="17.100000000000001" customHeight="1">
      <c r="B131" s="18">
        <v>4</v>
      </c>
      <c r="C131" s="31" t="s">
        <v>658</v>
      </c>
      <c r="D131" s="19"/>
      <c r="E131" s="19"/>
      <c r="F131" s="19"/>
      <c r="G131" s="19" t="s">
        <v>774</v>
      </c>
      <c r="H131" s="20"/>
      <c r="I131" s="22"/>
      <c r="J131" s="22"/>
      <c r="K131" s="22"/>
      <c r="L131" s="22"/>
      <c r="M131" s="22"/>
      <c r="N131" s="22"/>
      <c r="O131" s="22"/>
      <c r="P131" s="22"/>
      <c r="Q131" s="22"/>
      <c r="R131" s="22" t="s">
        <v>660</v>
      </c>
      <c r="S131" s="23">
        <v>44942</v>
      </c>
      <c r="T131" s="22">
        <v>5</v>
      </c>
      <c r="U131" s="23">
        <f>IF(AND(S131="",T131="")=TRUE,"",WORKDAY(S131,T131-1,Holidays))</f>
        <v>44946</v>
      </c>
      <c r="V131" s="23"/>
      <c r="W131" s="22" t="str">
        <f t="shared" ca="1" si="109"/>
        <v/>
      </c>
      <c r="X131" s="23"/>
      <c r="Y131" s="30">
        <v>0</v>
      </c>
      <c r="Z131" s="22" t="str">
        <f t="shared" si="64"/>
        <v>Open</v>
      </c>
    </row>
    <row r="132" spans="2:26" ht="17.100000000000001" customHeight="1">
      <c r="B132" s="18">
        <v>4</v>
      </c>
      <c r="C132" s="31" t="s">
        <v>658</v>
      </c>
      <c r="D132" s="19"/>
      <c r="E132" s="19"/>
      <c r="F132" s="19"/>
      <c r="G132" s="19" t="s">
        <v>775</v>
      </c>
      <c r="H132" s="20"/>
      <c r="I132" s="22"/>
      <c r="J132" s="22"/>
      <c r="K132" s="22"/>
      <c r="L132" s="22"/>
      <c r="M132" s="22"/>
      <c r="N132" s="22"/>
      <c r="O132" s="22"/>
      <c r="P132" s="22"/>
      <c r="Q132" s="22"/>
      <c r="R132" s="22" t="s">
        <v>660</v>
      </c>
      <c r="S132" s="23">
        <v>44949</v>
      </c>
      <c r="T132" s="22">
        <v>5</v>
      </c>
      <c r="U132" s="23">
        <f>IF(AND(S132="",T132="")=TRUE,"",WORKDAY(S132,T132-1,Holidays))</f>
        <v>44953</v>
      </c>
      <c r="V132" s="23"/>
      <c r="W132" s="22" t="str">
        <f t="shared" ca="1" si="109"/>
        <v/>
      </c>
      <c r="X132" s="23"/>
      <c r="Y132" s="30">
        <v>0</v>
      </c>
      <c r="Z132" s="22" t="str">
        <f t="shared" si="64"/>
        <v>Open</v>
      </c>
    </row>
    <row r="133" spans="2:26" ht="17.100000000000001" customHeight="1">
      <c r="B133" s="18">
        <v>3</v>
      </c>
      <c r="C133" s="31" t="s">
        <v>655</v>
      </c>
      <c r="D133" s="19"/>
      <c r="E133" s="19"/>
      <c r="F133" s="19" t="s">
        <v>776</v>
      </c>
      <c r="G133" s="19"/>
      <c r="H133" s="20"/>
      <c r="I133" s="22" t="str">
        <f t="shared" ref="I133" si="160">IF(COUNTIF(I134:I136,"●")&gt;0,"●","")</f>
        <v/>
      </c>
      <c r="J133" s="22" t="str">
        <f t="shared" ref="J133" si="161">IF(COUNTIF(J134:J136,"●")&gt;0,"●","")</f>
        <v/>
      </c>
      <c r="K133" s="22" t="str">
        <f t="shared" ref="K133" si="162">IF(COUNTIF(K134:K136,"●")&gt;0,"●","")</f>
        <v/>
      </c>
      <c r="L133" s="22" t="str">
        <f t="shared" ref="L133" si="163">IF(COUNTIF(L134:L136,"●")&gt;0,"●","")</f>
        <v/>
      </c>
      <c r="M133" s="22" t="str">
        <f t="shared" ref="M133" si="164">IF(COUNTIF(M134:M136,"●")&gt;0,"●","")</f>
        <v/>
      </c>
      <c r="N133" s="22" t="str">
        <f t="shared" ref="N133" si="165">IF(COUNTIF(N134:N136,"●")&gt;0,"●","")</f>
        <v/>
      </c>
      <c r="O133" s="22" t="str">
        <f t="shared" ref="O133" si="166">IF(COUNTIF(O134:O136,"●")&gt;0,"●","")</f>
        <v/>
      </c>
      <c r="P133" s="22" t="str">
        <f t="shared" ref="P133" si="167">IF(COUNTIF(P134:P136,"●")&gt;0,"●","")</f>
        <v/>
      </c>
      <c r="Q133" s="22" t="str">
        <f t="shared" ref="Q133" si="168">IF(COUNTIF(Q134:Q136,"●")&gt;0,"●","")</f>
        <v/>
      </c>
      <c r="R133" s="22" t="str">
        <f t="shared" ref="R133" si="169">IF(COUNTIF(R134:R136,"●")&gt;0,"●","")</f>
        <v>●</v>
      </c>
      <c r="S133" s="23">
        <f>IF(MIN(S134:S136)=0,"",MIN(S134:S136))</f>
        <v>44956</v>
      </c>
      <c r="T133" s="22">
        <f ca="1">IF(AND(S133="",U133="")=TRUE,"",IF(AND(S133&gt;0,U133="")=TRUE,NETWORKDAYS(S133,TODAY(),Holidays),NETWORKDAYS(S133,U133,Holidays)))</f>
        <v>15</v>
      </c>
      <c r="U133" s="23">
        <f>IF(MAX(U134:U136)=0,"",MAX(U134:U136))</f>
        <v>44974</v>
      </c>
      <c r="V133" s="23" t="str">
        <f>IF(MIN(V134:V136)=0,"",MIN(V134:V136))</f>
        <v/>
      </c>
      <c r="W133" s="22" t="str">
        <f t="shared" ca="1" si="109"/>
        <v/>
      </c>
      <c r="X133" s="23" t="str">
        <f>IF(MAX(X134:X136)=0,"",MAX(X134:X136))</f>
        <v/>
      </c>
      <c r="Y133" s="30">
        <f>IFERROR(AVERAGE(Y134:Y136),"")</f>
        <v>0</v>
      </c>
      <c r="Z133" s="22" t="str">
        <f t="shared" si="64"/>
        <v>Open</v>
      </c>
    </row>
    <row r="134" spans="2:26" ht="17.100000000000001" customHeight="1">
      <c r="B134" s="18">
        <v>4</v>
      </c>
      <c r="C134" s="31" t="s">
        <v>658</v>
      </c>
      <c r="D134" s="19"/>
      <c r="E134" s="19"/>
      <c r="F134" s="19"/>
      <c r="G134" s="19" t="s">
        <v>777</v>
      </c>
      <c r="H134" s="20"/>
      <c r="I134" s="22"/>
      <c r="J134" s="22"/>
      <c r="K134" s="22"/>
      <c r="L134" s="22"/>
      <c r="M134" s="22"/>
      <c r="N134" s="22"/>
      <c r="O134" s="22"/>
      <c r="P134" s="22"/>
      <c r="Q134" s="22"/>
      <c r="R134" s="22" t="s">
        <v>660</v>
      </c>
      <c r="S134" s="23">
        <v>44956</v>
      </c>
      <c r="T134" s="22">
        <v>5</v>
      </c>
      <c r="U134" s="23">
        <f>IF(AND(S134="",T134="")=TRUE,"",WORKDAY(S134,T134-1,Holidays))</f>
        <v>44960</v>
      </c>
      <c r="V134" s="23"/>
      <c r="W134" s="22" t="str">
        <f t="shared" ca="1" si="109"/>
        <v/>
      </c>
      <c r="X134" s="23"/>
      <c r="Y134" s="30">
        <v>0</v>
      </c>
      <c r="Z134" s="22" t="str">
        <f t="shared" si="64"/>
        <v>Open</v>
      </c>
    </row>
    <row r="135" spans="2:26" ht="17.100000000000001" customHeight="1">
      <c r="B135" s="18">
        <v>4</v>
      </c>
      <c r="C135" s="31" t="s">
        <v>658</v>
      </c>
      <c r="D135" s="19"/>
      <c r="E135" s="19"/>
      <c r="F135" s="19"/>
      <c r="G135" s="19" t="s">
        <v>778</v>
      </c>
      <c r="H135" s="20"/>
      <c r="I135" s="22"/>
      <c r="J135" s="22"/>
      <c r="K135" s="22"/>
      <c r="L135" s="22"/>
      <c r="M135" s="22"/>
      <c r="N135" s="22"/>
      <c r="O135" s="22"/>
      <c r="P135" s="22"/>
      <c r="Q135" s="22"/>
      <c r="R135" s="22" t="s">
        <v>660</v>
      </c>
      <c r="S135" s="23">
        <v>44963</v>
      </c>
      <c r="T135" s="22">
        <v>5</v>
      </c>
      <c r="U135" s="23">
        <f>IF(AND(S135="",T135="")=TRUE,"",WORKDAY(S135,T135-1,Holidays))</f>
        <v>44967</v>
      </c>
      <c r="V135" s="23"/>
      <c r="W135" s="22" t="str">
        <f t="shared" ca="1" si="109"/>
        <v/>
      </c>
      <c r="X135" s="23"/>
      <c r="Y135" s="30">
        <v>0</v>
      </c>
      <c r="Z135" s="22" t="str">
        <f t="shared" si="64"/>
        <v>Open</v>
      </c>
    </row>
    <row r="136" spans="2:26" ht="17.100000000000001" customHeight="1">
      <c r="B136" s="18">
        <v>4</v>
      </c>
      <c r="C136" s="31" t="s">
        <v>658</v>
      </c>
      <c r="D136" s="19"/>
      <c r="E136" s="19"/>
      <c r="F136" s="19"/>
      <c r="G136" s="19" t="s">
        <v>779</v>
      </c>
      <c r="H136" s="20"/>
      <c r="I136" s="22"/>
      <c r="J136" s="22"/>
      <c r="K136" s="22"/>
      <c r="L136" s="22"/>
      <c r="M136" s="22"/>
      <c r="N136" s="22"/>
      <c r="O136" s="22"/>
      <c r="P136" s="22"/>
      <c r="Q136" s="22"/>
      <c r="R136" s="22" t="s">
        <v>660</v>
      </c>
      <c r="S136" s="23">
        <v>44970</v>
      </c>
      <c r="T136" s="22">
        <v>5</v>
      </c>
      <c r="U136" s="23">
        <f>IF(AND(S136="",T136="")=TRUE,"",WORKDAY(S136,T136-1,Holidays))</f>
        <v>44974</v>
      </c>
      <c r="V136" s="23"/>
      <c r="W136" s="22" t="str">
        <f t="shared" ca="1" si="109"/>
        <v/>
      </c>
      <c r="X136" s="23"/>
      <c r="Y136" s="30">
        <v>0</v>
      </c>
      <c r="Z136" s="22" t="str">
        <f t="shared" si="64"/>
        <v>Open</v>
      </c>
    </row>
    <row r="137" spans="2:26" ht="17.100000000000001" customHeight="1">
      <c r="B137" s="18">
        <v>3</v>
      </c>
      <c r="C137" s="31" t="s">
        <v>655</v>
      </c>
      <c r="D137" s="19"/>
      <c r="E137" s="19"/>
      <c r="F137" s="19" t="s">
        <v>780</v>
      </c>
      <c r="G137" s="19"/>
      <c r="H137" s="20"/>
      <c r="I137" s="22" t="str">
        <f t="shared" ref="I137" si="170">IF(COUNTIF(I138:I140,"●")&gt;0,"●","")</f>
        <v/>
      </c>
      <c r="J137" s="22" t="str">
        <f t="shared" ref="J137" si="171">IF(COUNTIF(J138:J140,"●")&gt;0,"●","")</f>
        <v/>
      </c>
      <c r="K137" s="22" t="str">
        <f t="shared" ref="K137" si="172">IF(COUNTIF(K138:K140,"●")&gt;0,"●","")</f>
        <v/>
      </c>
      <c r="L137" s="22" t="str">
        <f t="shared" ref="L137" si="173">IF(COUNTIF(L138:L140,"●")&gt;0,"●","")</f>
        <v/>
      </c>
      <c r="M137" s="22" t="str">
        <f t="shared" ref="M137" si="174">IF(COUNTIF(M138:M140,"●")&gt;0,"●","")</f>
        <v/>
      </c>
      <c r="N137" s="22" t="str">
        <f t="shared" ref="N137" si="175">IF(COUNTIF(N138:N140,"●")&gt;0,"●","")</f>
        <v/>
      </c>
      <c r="O137" s="22" t="str">
        <f t="shared" ref="O137" si="176">IF(COUNTIF(O138:O140,"●")&gt;0,"●","")</f>
        <v/>
      </c>
      <c r="P137" s="22" t="str">
        <f t="shared" ref="P137" si="177">IF(COUNTIF(P138:P140,"●")&gt;0,"●","")</f>
        <v/>
      </c>
      <c r="Q137" s="22" t="str">
        <f t="shared" ref="Q137" si="178">IF(COUNTIF(Q138:Q140,"●")&gt;0,"●","")</f>
        <v>●</v>
      </c>
      <c r="R137" s="22" t="str">
        <f t="shared" ref="R137" si="179">IF(COUNTIF(R138:R140,"●")&gt;0,"●","")</f>
        <v/>
      </c>
      <c r="S137" s="23">
        <f>IF(MIN(S138:S140)=0,"",MIN(S138:S140))</f>
        <v>44956</v>
      </c>
      <c r="T137" s="22">
        <f ca="1">IF(AND(S137="",U137="")=TRUE,"",IF(AND(S137&gt;0,U137="")=TRUE,NETWORKDAYS(S137,TODAY(),Holidays),NETWORKDAYS(S137,U137,Holidays)))</f>
        <v>15</v>
      </c>
      <c r="U137" s="23">
        <f>IF(MAX(U138:U140)=0,"",MAX(U138:U140))</f>
        <v>44974</v>
      </c>
      <c r="V137" s="23" t="str">
        <f>IF(MIN(V138:V140)=0,"",MIN(V138:V140))</f>
        <v/>
      </c>
      <c r="W137" s="22" t="str">
        <f t="shared" ca="1" si="109"/>
        <v/>
      </c>
      <c r="X137" s="23" t="str">
        <f>IF(MAX(X138:X140)=0,"",MAX(X138:X140))</f>
        <v/>
      </c>
      <c r="Y137" s="30">
        <f>IFERROR(AVERAGE(Y138:Y140),"")</f>
        <v>0</v>
      </c>
      <c r="Z137" s="22" t="str">
        <f t="shared" si="64"/>
        <v>Open</v>
      </c>
    </row>
    <row r="138" spans="2:26" ht="17.100000000000001" customHeight="1">
      <c r="B138" s="18">
        <v>4</v>
      </c>
      <c r="C138" s="31" t="s">
        <v>658</v>
      </c>
      <c r="D138" s="19"/>
      <c r="E138" s="19"/>
      <c r="F138" s="19"/>
      <c r="G138" s="19" t="s">
        <v>781</v>
      </c>
      <c r="H138" s="20"/>
      <c r="I138" s="22"/>
      <c r="J138" s="22"/>
      <c r="K138" s="22"/>
      <c r="L138" s="22"/>
      <c r="M138" s="22"/>
      <c r="N138" s="22"/>
      <c r="O138" s="22"/>
      <c r="P138" s="22"/>
      <c r="Q138" s="22" t="s">
        <v>660</v>
      </c>
      <c r="R138" s="22"/>
      <c r="S138" s="23">
        <v>44956</v>
      </c>
      <c r="T138" s="22">
        <v>5</v>
      </c>
      <c r="U138" s="23">
        <f>IF(AND(S138="",T138="")=TRUE,"",WORKDAY(S138,T138-1,Holidays))</f>
        <v>44960</v>
      </c>
      <c r="V138" s="23"/>
      <c r="W138" s="22" t="str">
        <f t="shared" ca="1" si="109"/>
        <v/>
      </c>
      <c r="X138" s="23"/>
      <c r="Y138" s="30">
        <v>0</v>
      </c>
      <c r="Z138" s="22" t="str">
        <f t="shared" si="64"/>
        <v>Open</v>
      </c>
    </row>
    <row r="139" spans="2:26" ht="17.100000000000001" customHeight="1">
      <c r="B139" s="18">
        <v>4</v>
      </c>
      <c r="C139" s="31" t="s">
        <v>658</v>
      </c>
      <c r="D139" s="19"/>
      <c r="E139" s="19"/>
      <c r="F139" s="19"/>
      <c r="G139" s="19" t="s">
        <v>782</v>
      </c>
      <c r="H139" s="20"/>
      <c r="I139" s="22"/>
      <c r="J139" s="22"/>
      <c r="K139" s="22"/>
      <c r="L139" s="22"/>
      <c r="M139" s="22"/>
      <c r="N139" s="22"/>
      <c r="O139" s="22"/>
      <c r="P139" s="22"/>
      <c r="Q139" s="22" t="s">
        <v>660</v>
      </c>
      <c r="R139" s="22"/>
      <c r="S139" s="23">
        <v>44963</v>
      </c>
      <c r="T139" s="22">
        <v>5</v>
      </c>
      <c r="U139" s="23">
        <f>IF(AND(S139="",T139="")=TRUE,"",WORKDAY(S139,T139-1,Holidays))</f>
        <v>44967</v>
      </c>
      <c r="V139" s="23"/>
      <c r="W139" s="22" t="str">
        <f t="shared" ca="1" si="109"/>
        <v/>
      </c>
      <c r="X139" s="23"/>
      <c r="Y139" s="30">
        <v>0</v>
      </c>
      <c r="Z139" s="22" t="str">
        <f t="shared" si="64"/>
        <v>Open</v>
      </c>
    </row>
    <row r="140" spans="2:26" ht="17.100000000000001" customHeight="1">
      <c r="B140" s="18">
        <v>4</v>
      </c>
      <c r="C140" s="31" t="s">
        <v>658</v>
      </c>
      <c r="D140" s="19"/>
      <c r="E140" s="19"/>
      <c r="F140" s="19"/>
      <c r="G140" s="19" t="s">
        <v>783</v>
      </c>
      <c r="H140" s="20"/>
      <c r="I140" s="22"/>
      <c r="J140" s="22"/>
      <c r="K140" s="22"/>
      <c r="L140" s="22"/>
      <c r="M140" s="22"/>
      <c r="N140" s="22"/>
      <c r="O140" s="22"/>
      <c r="P140" s="22"/>
      <c r="Q140" s="22" t="s">
        <v>660</v>
      </c>
      <c r="R140" s="22"/>
      <c r="S140" s="23">
        <v>44970</v>
      </c>
      <c r="T140" s="22">
        <v>5</v>
      </c>
      <c r="U140" s="23">
        <f>IF(AND(S140="",T140="")=TRUE,"",WORKDAY(S140,T140-1,Holidays))</f>
        <v>44974</v>
      </c>
      <c r="V140" s="23"/>
      <c r="W140" s="22" t="str">
        <f t="shared" ca="1" si="109"/>
        <v/>
      </c>
      <c r="X140" s="23"/>
      <c r="Y140" s="30">
        <v>0</v>
      </c>
      <c r="Z140" s="22" t="str">
        <f t="shared" si="64"/>
        <v>Open</v>
      </c>
    </row>
    <row r="141" spans="2:26" ht="17.100000000000001" customHeight="1">
      <c r="B141" s="18">
        <v>3</v>
      </c>
      <c r="C141" s="31" t="s">
        <v>655</v>
      </c>
      <c r="D141" s="19"/>
      <c r="E141" s="19"/>
      <c r="F141" s="19" t="s">
        <v>784</v>
      </c>
      <c r="G141" s="19"/>
      <c r="H141" s="20"/>
      <c r="I141" s="22" t="str">
        <f t="shared" ref="I141" si="180">IF(COUNTIF(I142:I144,"●")&gt;0,"●","")</f>
        <v/>
      </c>
      <c r="J141" s="22" t="str">
        <f t="shared" ref="J141" si="181">IF(COUNTIF(J142:J144,"●")&gt;0,"●","")</f>
        <v/>
      </c>
      <c r="K141" s="22" t="str">
        <f t="shared" ref="K141" si="182">IF(COUNTIF(K142:K144,"●")&gt;0,"●","")</f>
        <v/>
      </c>
      <c r="L141" s="22" t="str">
        <f t="shared" ref="L141" si="183">IF(COUNTIF(L142:L144,"●")&gt;0,"●","")</f>
        <v/>
      </c>
      <c r="M141" s="22" t="str">
        <f t="shared" ref="M141" si="184">IF(COUNTIF(M142:M144,"●")&gt;0,"●","")</f>
        <v/>
      </c>
      <c r="N141" s="22" t="str">
        <f t="shared" ref="N141" si="185">IF(COUNTIF(N142:N144,"●")&gt;0,"●","")</f>
        <v/>
      </c>
      <c r="O141" s="22" t="str">
        <f t="shared" ref="O141" si="186">IF(COUNTIF(O142:O144,"●")&gt;0,"●","")</f>
        <v/>
      </c>
      <c r="P141" s="22" t="str">
        <f t="shared" ref="P141" si="187">IF(COUNTIF(P142:P144,"●")&gt;0,"●","")</f>
        <v>●</v>
      </c>
      <c r="Q141" s="22" t="str">
        <f t="shared" ref="Q141" si="188">IF(COUNTIF(Q142:Q144,"●")&gt;0,"●","")</f>
        <v/>
      </c>
      <c r="R141" s="22" t="str">
        <f t="shared" ref="R141" si="189">IF(COUNTIF(R142:R144,"●")&gt;0,"●","")</f>
        <v/>
      </c>
      <c r="S141" s="23">
        <f>IF(MIN(S142:S144)=0,"",MIN(S142:S144))</f>
        <v>44956</v>
      </c>
      <c r="T141" s="22">
        <f ca="1">IF(AND(S141="",U141="")=TRUE,"",IF(AND(S141&gt;0,U141="")=TRUE,NETWORKDAYS(S141,TODAY(),Holidays),NETWORKDAYS(S141,U141,Holidays)))</f>
        <v>15</v>
      </c>
      <c r="U141" s="23">
        <f>IF(MAX(U142:U144)=0,"",MAX(U142:U144))</f>
        <v>44974</v>
      </c>
      <c r="V141" s="23" t="str">
        <f>IF(MIN(V142:V144)=0,"",MIN(V142:V144))</f>
        <v/>
      </c>
      <c r="W141" s="22" t="str">
        <f t="shared" ca="1" si="109"/>
        <v/>
      </c>
      <c r="X141" s="23" t="str">
        <f>IF(MAX(X142:X144)=0,"",MAX(X142:X144))</f>
        <v/>
      </c>
      <c r="Y141" s="30">
        <f>IFERROR(AVERAGE(Y142:Y144),"")</f>
        <v>0</v>
      </c>
      <c r="Z141" s="22" t="str">
        <f t="shared" si="64"/>
        <v>Open</v>
      </c>
    </row>
    <row r="142" spans="2:26" ht="17.100000000000001" customHeight="1">
      <c r="B142" s="18">
        <v>4</v>
      </c>
      <c r="C142" s="31" t="s">
        <v>658</v>
      </c>
      <c r="D142" s="19"/>
      <c r="E142" s="19"/>
      <c r="F142" s="19"/>
      <c r="G142" s="19" t="s">
        <v>785</v>
      </c>
      <c r="H142" s="20"/>
      <c r="I142" s="22"/>
      <c r="J142" s="22"/>
      <c r="K142" s="22"/>
      <c r="L142" s="22"/>
      <c r="M142" s="22"/>
      <c r="N142" s="22"/>
      <c r="O142" s="22"/>
      <c r="P142" s="22" t="s">
        <v>660</v>
      </c>
      <c r="Q142" s="22"/>
      <c r="R142" s="22"/>
      <c r="S142" s="23">
        <v>44956</v>
      </c>
      <c r="T142" s="22">
        <v>5</v>
      </c>
      <c r="U142" s="23">
        <f>IF(AND(S142="",T142="")=TRUE,"",WORKDAY(S142,T142-1,Holidays))</f>
        <v>44960</v>
      </c>
      <c r="V142" s="23"/>
      <c r="W142" s="22" t="str">
        <f t="shared" ca="1" si="109"/>
        <v/>
      </c>
      <c r="X142" s="23"/>
      <c r="Y142" s="30">
        <v>0</v>
      </c>
      <c r="Z142" s="22" t="str">
        <f t="shared" si="64"/>
        <v>Open</v>
      </c>
    </row>
    <row r="143" spans="2:26" ht="17.100000000000001" customHeight="1">
      <c r="B143" s="18">
        <v>4</v>
      </c>
      <c r="C143" s="31" t="s">
        <v>658</v>
      </c>
      <c r="D143" s="19"/>
      <c r="E143" s="19"/>
      <c r="F143" s="19"/>
      <c r="G143" s="19" t="s">
        <v>786</v>
      </c>
      <c r="H143" s="20"/>
      <c r="I143" s="22"/>
      <c r="J143" s="22"/>
      <c r="K143" s="22"/>
      <c r="L143" s="22"/>
      <c r="M143" s="22"/>
      <c r="N143" s="22"/>
      <c r="O143" s="22"/>
      <c r="P143" s="22" t="s">
        <v>660</v>
      </c>
      <c r="Q143" s="22"/>
      <c r="R143" s="22"/>
      <c r="S143" s="23">
        <v>44963</v>
      </c>
      <c r="T143" s="22">
        <v>5</v>
      </c>
      <c r="U143" s="23">
        <f>IF(AND(S143="",T143="")=TRUE,"",WORKDAY(S143,T143-1,Holidays))</f>
        <v>44967</v>
      </c>
      <c r="V143" s="23"/>
      <c r="W143" s="22" t="str">
        <f t="shared" ref="W143:W161" ca="1" si="190">IF(AND(V143="",X143="")=TRUE,"",IF(AND(V143&gt;0,X143="")=TRUE,NETWORKDAYS(V143,TODAY(),Holidays),NETWORKDAYS(V143,X143,Holidays)))</f>
        <v/>
      </c>
      <c r="X143" s="23"/>
      <c r="Y143" s="30">
        <v>0</v>
      </c>
      <c r="Z143" s="22" t="str">
        <f t="shared" si="64"/>
        <v>Open</v>
      </c>
    </row>
    <row r="144" spans="2:26" ht="17.100000000000001" customHeight="1">
      <c r="B144" s="18">
        <v>4</v>
      </c>
      <c r="C144" s="31" t="s">
        <v>658</v>
      </c>
      <c r="D144" s="19"/>
      <c r="E144" s="19"/>
      <c r="F144" s="19"/>
      <c r="G144" s="19" t="s">
        <v>787</v>
      </c>
      <c r="H144" s="20"/>
      <c r="I144" s="22"/>
      <c r="J144" s="22"/>
      <c r="K144" s="22"/>
      <c r="L144" s="22"/>
      <c r="M144" s="22"/>
      <c r="N144" s="22"/>
      <c r="O144" s="22"/>
      <c r="P144" s="22" t="s">
        <v>660</v>
      </c>
      <c r="Q144" s="22"/>
      <c r="R144" s="22"/>
      <c r="S144" s="23">
        <v>44970</v>
      </c>
      <c r="T144" s="22">
        <v>5</v>
      </c>
      <c r="U144" s="23">
        <f>IF(AND(S144="",T144="")=TRUE,"",WORKDAY(S144,T144-1,Holidays))</f>
        <v>44974</v>
      </c>
      <c r="V144" s="23"/>
      <c r="W144" s="22" t="str">
        <f t="shared" ca="1" si="190"/>
        <v/>
      </c>
      <c r="X144" s="23"/>
      <c r="Y144" s="30">
        <v>0</v>
      </c>
      <c r="Z144" s="22" t="str">
        <f t="shared" ref="Z144:Z161" si="191">IF(Y144=100%,"Completed",IF(AND(Y144&lt;100%,Y144&gt;0%)=TRUE,"In-Progress","Open"))</f>
        <v>Open</v>
      </c>
    </row>
    <row r="145" spans="2:26" ht="17.100000000000001" customHeight="1">
      <c r="B145" s="18">
        <v>3</v>
      </c>
      <c r="C145" s="31" t="s">
        <v>655</v>
      </c>
      <c r="D145" s="19"/>
      <c r="E145" s="19"/>
      <c r="F145" s="19" t="s">
        <v>788</v>
      </c>
      <c r="G145" s="19"/>
      <c r="H145" s="20"/>
      <c r="I145" s="22" t="str">
        <f t="shared" ref="I145" si="192">IF(COUNTIF(I146:I148,"●")&gt;0,"●","")</f>
        <v/>
      </c>
      <c r="J145" s="22" t="str">
        <f t="shared" ref="J145" si="193">IF(COUNTIF(J146:J148,"●")&gt;0,"●","")</f>
        <v/>
      </c>
      <c r="K145" s="22" t="str">
        <f t="shared" ref="K145" si="194">IF(COUNTIF(K146:K148,"●")&gt;0,"●","")</f>
        <v/>
      </c>
      <c r="L145" s="22" t="str">
        <f t="shared" ref="L145" si="195">IF(COUNTIF(L146:L148,"●")&gt;0,"●","")</f>
        <v/>
      </c>
      <c r="M145" s="22" t="str">
        <f t="shared" ref="M145" si="196">IF(COUNTIF(M146:M148,"●")&gt;0,"●","")</f>
        <v/>
      </c>
      <c r="N145" s="22" t="str">
        <f t="shared" ref="N145" si="197">IF(COUNTIF(N146:N148,"●")&gt;0,"●","")</f>
        <v/>
      </c>
      <c r="O145" s="22" t="str">
        <f t="shared" ref="O145" si="198">IF(COUNTIF(O146:O148,"●")&gt;0,"●","")</f>
        <v>●</v>
      </c>
      <c r="P145" s="22" t="str">
        <f t="shared" ref="P145" si="199">IF(COUNTIF(P146:P148,"●")&gt;0,"●","")</f>
        <v/>
      </c>
      <c r="Q145" s="22" t="str">
        <f t="shared" ref="Q145" si="200">IF(COUNTIF(Q146:Q148,"●")&gt;0,"●","")</f>
        <v/>
      </c>
      <c r="R145" s="22" t="str">
        <f t="shared" ref="R145" si="201">IF(COUNTIF(R146:R148,"●")&gt;0,"●","")</f>
        <v/>
      </c>
      <c r="S145" s="23">
        <f>IF(MIN(S146:S148)=0,"",MIN(S146:S148))</f>
        <v>44956</v>
      </c>
      <c r="T145" s="22">
        <f ca="1">IF(AND(S145="",U145="")=TRUE,"",IF(AND(S145&gt;0,U145="")=TRUE,NETWORKDAYS(S145,TODAY(),Holidays),NETWORKDAYS(S145,U145,Holidays)))</f>
        <v>15</v>
      </c>
      <c r="U145" s="23">
        <f>IF(MAX(U146:U148)=0,"",MAX(U146:U148))</f>
        <v>44974</v>
      </c>
      <c r="V145" s="23" t="str">
        <f>IF(MIN(V146:V148)=0,"",MIN(V146:V148))</f>
        <v/>
      </c>
      <c r="W145" s="22" t="str">
        <f t="shared" ca="1" si="190"/>
        <v/>
      </c>
      <c r="X145" s="23" t="str">
        <f>IF(MAX(X146:X148)=0,"",MAX(X146:X148))</f>
        <v/>
      </c>
      <c r="Y145" s="30">
        <f>IFERROR(AVERAGE(Y146:Y148),"")</f>
        <v>0</v>
      </c>
      <c r="Z145" s="22" t="str">
        <f t="shared" si="191"/>
        <v>Open</v>
      </c>
    </row>
    <row r="146" spans="2:26" ht="17.100000000000001" customHeight="1">
      <c r="B146" s="18">
        <v>4</v>
      </c>
      <c r="C146" s="31" t="s">
        <v>658</v>
      </c>
      <c r="D146" s="19"/>
      <c r="E146" s="19"/>
      <c r="F146" s="19"/>
      <c r="G146" s="19" t="s">
        <v>789</v>
      </c>
      <c r="H146" s="20"/>
      <c r="I146" s="22"/>
      <c r="J146" s="22"/>
      <c r="K146" s="22"/>
      <c r="L146" s="22"/>
      <c r="M146" s="22"/>
      <c r="N146" s="22"/>
      <c r="O146" s="22" t="s">
        <v>660</v>
      </c>
      <c r="P146" s="22"/>
      <c r="Q146" s="22"/>
      <c r="R146" s="22"/>
      <c r="S146" s="23">
        <v>44956</v>
      </c>
      <c r="T146" s="22">
        <v>5</v>
      </c>
      <c r="U146" s="23">
        <f>IF(AND(S146="",T146="")=TRUE,"",WORKDAY(S146,T146-1,Holidays))</f>
        <v>44960</v>
      </c>
      <c r="V146" s="23"/>
      <c r="W146" s="22" t="str">
        <f t="shared" ca="1" si="190"/>
        <v/>
      </c>
      <c r="X146" s="23"/>
      <c r="Y146" s="30">
        <v>0</v>
      </c>
      <c r="Z146" s="22" t="str">
        <f t="shared" si="191"/>
        <v>Open</v>
      </c>
    </row>
    <row r="147" spans="2:26" ht="17.100000000000001" customHeight="1">
      <c r="B147" s="18">
        <v>4</v>
      </c>
      <c r="C147" s="31" t="s">
        <v>658</v>
      </c>
      <c r="D147" s="19"/>
      <c r="E147" s="19"/>
      <c r="F147" s="19"/>
      <c r="G147" s="19" t="s">
        <v>790</v>
      </c>
      <c r="H147" s="20"/>
      <c r="I147" s="22"/>
      <c r="J147" s="22"/>
      <c r="K147" s="22"/>
      <c r="L147" s="22"/>
      <c r="M147" s="22"/>
      <c r="N147" s="22"/>
      <c r="O147" s="22" t="s">
        <v>660</v>
      </c>
      <c r="P147" s="22"/>
      <c r="Q147" s="22"/>
      <c r="R147" s="22"/>
      <c r="S147" s="23">
        <v>44963</v>
      </c>
      <c r="T147" s="22">
        <v>5</v>
      </c>
      <c r="U147" s="23">
        <f>IF(AND(S147="",T147="")=TRUE,"",WORKDAY(S147,T147-1,Holidays))</f>
        <v>44967</v>
      </c>
      <c r="V147" s="23"/>
      <c r="W147" s="22" t="str">
        <f t="shared" ca="1" si="190"/>
        <v/>
      </c>
      <c r="X147" s="23"/>
      <c r="Y147" s="30">
        <v>0</v>
      </c>
      <c r="Z147" s="22" t="str">
        <f t="shared" si="191"/>
        <v>Open</v>
      </c>
    </row>
    <row r="148" spans="2:26" ht="17.100000000000001" customHeight="1">
      <c r="B148" s="18">
        <v>4</v>
      </c>
      <c r="C148" s="31" t="s">
        <v>658</v>
      </c>
      <c r="D148" s="19"/>
      <c r="E148" s="19"/>
      <c r="F148" s="19"/>
      <c r="G148" s="19" t="s">
        <v>791</v>
      </c>
      <c r="H148" s="20"/>
      <c r="I148" s="22"/>
      <c r="J148" s="22"/>
      <c r="K148" s="22"/>
      <c r="L148" s="22"/>
      <c r="M148" s="22"/>
      <c r="N148" s="22"/>
      <c r="O148" s="22" t="s">
        <v>660</v>
      </c>
      <c r="P148" s="22"/>
      <c r="Q148" s="22"/>
      <c r="R148" s="22"/>
      <c r="S148" s="23">
        <v>44970</v>
      </c>
      <c r="T148" s="22">
        <v>5</v>
      </c>
      <c r="U148" s="23">
        <f>IF(AND(S148="",T148="")=TRUE,"",WORKDAY(S148,T148-1,Holidays))</f>
        <v>44974</v>
      </c>
      <c r="V148" s="23"/>
      <c r="W148" s="22" t="str">
        <f t="shared" ca="1" si="190"/>
        <v/>
      </c>
      <c r="X148" s="23"/>
      <c r="Y148" s="30">
        <v>0</v>
      </c>
      <c r="Z148" s="22" t="str">
        <f t="shared" si="191"/>
        <v>Open</v>
      </c>
    </row>
    <row r="149" spans="2:26" ht="17.100000000000001" customHeight="1">
      <c r="B149" s="18">
        <v>3</v>
      </c>
      <c r="C149" s="31" t="s">
        <v>655</v>
      </c>
      <c r="D149" s="19"/>
      <c r="E149" s="19"/>
      <c r="F149" s="19" t="s">
        <v>792</v>
      </c>
      <c r="G149" s="19"/>
      <c r="H149" s="20"/>
      <c r="I149" s="22" t="str">
        <f t="shared" ref="I149" si="202">IF(COUNTIF(I150:I152,"●")&gt;0,"●","")</f>
        <v/>
      </c>
      <c r="J149" s="22" t="str">
        <f t="shared" ref="J149" si="203">IF(COUNTIF(J150:J152,"●")&gt;0,"●","")</f>
        <v/>
      </c>
      <c r="K149" s="22" t="str">
        <f t="shared" ref="K149" si="204">IF(COUNTIF(K150:K152,"●")&gt;0,"●","")</f>
        <v/>
      </c>
      <c r="L149" s="22" t="str">
        <f t="shared" ref="L149" si="205">IF(COUNTIF(L150:L152,"●")&gt;0,"●","")</f>
        <v/>
      </c>
      <c r="M149" s="22" t="str">
        <f t="shared" ref="M149" si="206">IF(COUNTIF(M150:M152,"●")&gt;0,"●","")</f>
        <v/>
      </c>
      <c r="N149" s="22" t="str">
        <f t="shared" ref="N149" si="207">IF(COUNTIF(N150:N152,"●")&gt;0,"●","")</f>
        <v>●</v>
      </c>
      <c r="O149" s="22" t="str">
        <f t="shared" ref="O149" si="208">IF(COUNTIF(O150:O152,"●")&gt;0,"●","")</f>
        <v/>
      </c>
      <c r="P149" s="22" t="str">
        <f t="shared" ref="P149" si="209">IF(COUNTIF(P150:P152,"●")&gt;0,"●","")</f>
        <v/>
      </c>
      <c r="Q149" s="22" t="str">
        <f t="shared" ref="Q149" si="210">IF(COUNTIF(Q150:Q152,"●")&gt;0,"●","")</f>
        <v/>
      </c>
      <c r="R149" s="22" t="str">
        <f t="shared" ref="R149" si="211">IF(COUNTIF(R150:R152,"●")&gt;0,"●","")</f>
        <v/>
      </c>
      <c r="S149" s="23">
        <f>IF(MIN(S150:S152)=0,"",MIN(S150:S152))</f>
        <v>44956</v>
      </c>
      <c r="T149" s="22">
        <f ca="1">IF(AND(S149="",U149="")=TRUE,"",IF(AND(S149&gt;0,U149="")=TRUE,NETWORKDAYS(S149,TODAY(),Holidays),NETWORKDAYS(S149,U149,Holidays)))</f>
        <v>15</v>
      </c>
      <c r="U149" s="23">
        <f>IF(MAX(U150:U152)=0,"",MAX(U150:U152))</f>
        <v>44974</v>
      </c>
      <c r="V149" s="23" t="str">
        <f>IF(MIN(V150:V152)=0,"",MIN(V150:V152))</f>
        <v/>
      </c>
      <c r="W149" s="22" t="str">
        <f t="shared" ca="1" si="190"/>
        <v/>
      </c>
      <c r="X149" s="23" t="str">
        <f>IF(MAX(X150:X152)=0,"",MAX(X150:X152))</f>
        <v/>
      </c>
      <c r="Y149" s="30">
        <f>IFERROR(AVERAGE(Y150:Y152),"")</f>
        <v>0</v>
      </c>
      <c r="Z149" s="22" t="str">
        <f t="shared" si="191"/>
        <v>Open</v>
      </c>
    </row>
    <row r="150" spans="2:26" ht="17.100000000000001" customHeight="1">
      <c r="B150" s="18">
        <v>4</v>
      </c>
      <c r="C150" s="31" t="s">
        <v>658</v>
      </c>
      <c r="D150" s="19"/>
      <c r="E150" s="19"/>
      <c r="F150" s="19"/>
      <c r="G150" s="19" t="s">
        <v>793</v>
      </c>
      <c r="H150" s="20"/>
      <c r="I150" s="22"/>
      <c r="J150" s="22"/>
      <c r="K150" s="22"/>
      <c r="L150" s="22"/>
      <c r="M150" s="22"/>
      <c r="N150" s="22" t="s">
        <v>660</v>
      </c>
      <c r="O150" s="22"/>
      <c r="P150" s="22"/>
      <c r="Q150" s="22"/>
      <c r="R150" s="22"/>
      <c r="S150" s="23">
        <v>44956</v>
      </c>
      <c r="T150" s="22">
        <v>5</v>
      </c>
      <c r="U150" s="23">
        <f>IF(AND(S150="",T150="")=TRUE,"",WORKDAY(S150,T150-1,Holidays))</f>
        <v>44960</v>
      </c>
      <c r="V150" s="23"/>
      <c r="W150" s="22" t="str">
        <f t="shared" ca="1" si="190"/>
        <v/>
      </c>
      <c r="X150" s="23"/>
      <c r="Y150" s="30">
        <v>0</v>
      </c>
      <c r="Z150" s="22" t="str">
        <f t="shared" si="191"/>
        <v>Open</v>
      </c>
    </row>
    <row r="151" spans="2:26" ht="17.100000000000001" customHeight="1">
      <c r="B151" s="18">
        <v>4</v>
      </c>
      <c r="C151" s="31" t="s">
        <v>658</v>
      </c>
      <c r="D151" s="19"/>
      <c r="E151" s="19"/>
      <c r="F151" s="19"/>
      <c r="G151" s="19" t="s">
        <v>794</v>
      </c>
      <c r="H151" s="20"/>
      <c r="I151" s="22"/>
      <c r="J151" s="22"/>
      <c r="K151" s="22"/>
      <c r="L151" s="22"/>
      <c r="M151" s="22"/>
      <c r="N151" s="22" t="s">
        <v>660</v>
      </c>
      <c r="O151" s="22"/>
      <c r="P151" s="22"/>
      <c r="Q151" s="22"/>
      <c r="R151" s="22"/>
      <c r="S151" s="23">
        <v>44963</v>
      </c>
      <c r="T151" s="22">
        <v>5</v>
      </c>
      <c r="U151" s="23">
        <f>IF(AND(S151="",T151="")=TRUE,"",WORKDAY(S151,T151-1,Holidays))</f>
        <v>44967</v>
      </c>
      <c r="V151" s="23"/>
      <c r="W151" s="22" t="str">
        <f t="shared" ca="1" si="190"/>
        <v/>
      </c>
      <c r="X151" s="23"/>
      <c r="Y151" s="30">
        <v>0</v>
      </c>
      <c r="Z151" s="22" t="str">
        <f t="shared" si="191"/>
        <v>Open</v>
      </c>
    </row>
    <row r="152" spans="2:26" ht="17.100000000000001" customHeight="1">
      <c r="B152" s="18">
        <v>4</v>
      </c>
      <c r="C152" s="31" t="s">
        <v>658</v>
      </c>
      <c r="D152" s="19"/>
      <c r="E152" s="19"/>
      <c r="F152" s="19"/>
      <c r="G152" s="19" t="s">
        <v>795</v>
      </c>
      <c r="H152" s="20"/>
      <c r="I152" s="22"/>
      <c r="J152" s="22"/>
      <c r="K152" s="22"/>
      <c r="L152" s="22"/>
      <c r="M152" s="22"/>
      <c r="N152" s="22" t="s">
        <v>660</v>
      </c>
      <c r="O152" s="22"/>
      <c r="P152" s="22"/>
      <c r="Q152" s="22"/>
      <c r="R152" s="22"/>
      <c r="S152" s="23">
        <v>44970</v>
      </c>
      <c r="T152" s="22">
        <v>5</v>
      </c>
      <c r="U152" s="23">
        <f>IF(AND(S152="",T152="")=TRUE,"",WORKDAY(S152,T152-1,Holidays))</f>
        <v>44974</v>
      </c>
      <c r="V152" s="23"/>
      <c r="W152" s="22" t="str">
        <f t="shared" ca="1" si="190"/>
        <v/>
      </c>
      <c r="X152" s="23"/>
      <c r="Y152" s="30">
        <v>0</v>
      </c>
      <c r="Z152" s="22" t="str">
        <f t="shared" si="191"/>
        <v>Open</v>
      </c>
    </row>
    <row r="153" spans="2:26" ht="17.100000000000001" customHeight="1">
      <c r="B153" s="18">
        <v>1</v>
      </c>
      <c r="C153" s="31" t="s">
        <v>655</v>
      </c>
      <c r="D153" s="19" t="s">
        <v>796</v>
      </c>
      <c r="E153" s="19"/>
      <c r="F153" s="19"/>
      <c r="G153" s="19"/>
      <c r="H153" s="20"/>
      <c r="I153" s="22" t="str">
        <f>IF(COUNTIF(I154:I161,"●")&gt;0,"●","")</f>
        <v/>
      </c>
      <c r="J153" s="22" t="str">
        <f t="shared" ref="J153:R153" si="212">IF(COUNTIF(J154:J161,"●")&gt;0,"●","")</f>
        <v>●</v>
      </c>
      <c r="K153" s="22" t="str">
        <f t="shared" si="212"/>
        <v>●</v>
      </c>
      <c r="L153" s="22" t="str">
        <f t="shared" si="212"/>
        <v/>
      </c>
      <c r="M153" s="22" t="str">
        <f t="shared" si="212"/>
        <v/>
      </c>
      <c r="N153" s="22" t="str">
        <f t="shared" si="212"/>
        <v>●</v>
      </c>
      <c r="O153" s="22" t="str">
        <f t="shared" si="212"/>
        <v>●</v>
      </c>
      <c r="P153" s="22" t="str">
        <f t="shared" si="212"/>
        <v/>
      </c>
      <c r="Q153" s="22" t="str">
        <f t="shared" si="212"/>
        <v>●</v>
      </c>
      <c r="R153" s="22" t="str">
        <f t="shared" si="212"/>
        <v/>
      </c>
      <c r="S153" s="23">
        <f>IF(MIN(S154:S161)=0,"",MIN(S154:S161))</f>
        <v>44987</v>
      </c>
      <c r="T153" s="22">
        <f ca="1">IF(AND(S153="",U153="")=TRUE,"",IF(AND(S153&gt;0,U153="")=TRUE,NETWORKDAYS(S153,TODAY(),Holidays),NETWORKDAYS(S153,U153,Holidays)))</f>
        <v>17</v>
      </c>
      <c r="U153" s="23">
        <f>IF(MAX(U154:U161)=0,"",MAX(U154:U161))</f>
        <v>45009</v>
      </c>
      <c r="V153" s="23" t="str">
        <f>IF(MIN(V154:V161)=0,"",MIN(V154:V161))</f>
        <v/>
      </c>
      <c r="W153" s="22" t="str">
        <f t="shared" ca="1" si="190"/>
        <v/>
      </c>
      <c r="X153" s="23" t="str">
        <f>IF(MAX(X154:X161)=0,"",MAX(X154:X161))</f>
        <v/>
      </c>
      <c r="Y153" s="30">
        <f>IFERROR(AVERAGE(Y154:Y161),"")</f>
        <v>0</v>
      </c>
      <c r="Z153" s="22" t="str">
        <f t="shared" si="191"/>
        <v>Open</v>
      </c>
    </row>
    <row r="154" spans="2:26" ht="17.100000000000001" customHeight="1">
      <c r="B154" s="18">
        <v>2</v>
      </c>
      <c r="C154" s="31" t="s">
        <v>655</v>
      </c>
      <c r="D154" s="19"/>
      <c r="E154" s="19" t="s">
        <v>797</v>
      </c>
      <c r="F154" s="19"/>
      <c r="G154" s="19"/>
      <c r="H154" s="20"/>
      <c r="I154" s="22" t="str">
        <f t="shared" ref="I154" si="213">IF(COUNTIF(I155:I157,"●")&gt;0,"●","")</f>
        <v/>
      </c>
      <c r="J154" s="22" t="str">
        <f t="shared" ref="J154" si="214">IF(COUNTIF(J155:J157,"●")&gt;0,"●","")</f>
        <v>●</v>
      </c>
      <c r="K154" s="22" t="str">
        <f t="shared" ref="K154" si="215">IF(COUNTIF(K155:K157,"●")&gt;0,"●","")</f>
        <v>●</v>
      </c>
      <c r="L154" s="22" t="str">
        <f t="shared" ref="L154" si="216">IF(COUNTIF(L155:L157,"●")&gt;0,"●","")</f>
        <v/>
      </c>
      <c r="M154" s="22" t="str">
        <f t="shared" ref="M154" si="217">IF(COUNTIF(M155:M157,"●")&gt;0,"●","")</f>
        <v/>
      </c>
      <c r="N154" s="22" t="str">
        <f t="shared" ref="N154" si="218">IF(COUNTIF(N155:N157,"●")&gt;0,"●","")</f>
        <v>●</v>
      </c>
      <c r="O154" s="22" t="str">
        <f t="shared" ref="O154" si="219">IF(COUNTIF(O155:O157,"●")&gt;0,"●","")</f>
        <v>●</v>
      </c>
      <c r="P154" s="22" t="str">
        <f t="shared" ref="P154" si="220">IF(COUNTIF(P155:P157,"●")&gt;0,"●","")</f>
        <v/>
      </c>
      <c r="Q154" s="22" t="str">
        <f t="shared" ref="Q154" si="221">IF(COUNTIF(Q155:Q157,"●")&gt;0,"●","")</f>
        <v>●</v>
      </c>
      <c r="R154" s="22" t="str">
        <f t="shared" ref="R154" si="222">IF(COUNTIF(R155:R157,"●")&gt;0,"●","")</f>
        <v/>
      </c>
      <c r="S154" s="23">
        <f>IF(MIN(S155:S157)=0,"",MIN(S155:S157))</f>
        <v>44987</v>
      </c>
      <c r="T154" s="22">
        <f ca="1">IF(AND(S154="",U154="")=TRUE,"",IF(AND(S154&gt;0,U154="")=TRUE,NETWORKDAYS(S154,TODAY(),Holidays),NETWORKDAYS(S154,U154,Holidays)))</f>
        <v>17</v>
      </c>
      <c r="U154" s="23">
        <f>IF(MAX(U155:U157)=0,"",MAX(U155:U157))</f>
        <v>45009</v>
      </c>
      <c r="V154" s="23" t="str">
        <f>IF(MIN(V155:V157)=0,"",MIN(V155:V157))</f>
        <v/>
      </c>
      <c r="W154" s="22" t="str">
        <f t="shared" ca="1" si="190"/>
        <v/>
      </c>
      <c r="X154" s="23" t="str">
        <f>IF(MAX(X155:X157)=0,"",MAX(X155:X157))</f>
        <v/>
      </c>
      <c r="Y154" s="30">
        <f>IFERROR(AVERAGE(Y155:Y157),"")</f>
        <v>0</v>
      </c>
      <c r="Z154" s="22" t="str">
        <f t="shared" si="191"/>
        <v>Open</v>
      </c>
    </row>
    <row r="155" spans="2:26" ht="17.100000000000001" customHeight="1">
      <c r="B155" s="18">
        <v>3</v>
      </c>
      <c r="C155" s="31" t="s">
        <v>658</v>
      </c>
      <c r="D155" s="19"/>
      <c r="E155" s="19"/>
      <c r="F155" s="19" t="s">
        <v>798</v>
      </c>
      <c r="G155" s="19"/>
      <c r="H155" s="20"/>
      <c r="I155" s="22" t="s">
        <v>1</v>
      </c>
      <c r="J155" s="22" t="s">
        <v>660</v>
      </c>
      <c r="K155" s="22" t="s">
        <v>660</v>
      </c>
      <c r="L155" s="22" t="s">
        <v>1</v>
      </c>
      <c r="M155" s="22" t="s">
        <v>1</v>
      </c>
      <c r="N155" s="22" t="s">
        <v>660</v>
      </c>
      <c r="O155" s="22" t="s">
        <v>660</v>
      </c>
      <c r="P155" s="22" t="s">
        <v>1</v>
      </c>
      <c r="Q155" s="22" t="s">
        <v>660</v>
      </c>
      <c r="R155" s="22" t="s">
        <v>1</v>
      </c>
      <c r="S155" s="23">
        <v>44987</v>
      </c>
      <c r="T155" s="22">
        <v>12</v>
      </c>
      <c r="U155" s="23">
        <f>IF(AND(S155="",T155="")=TRUE,"",WORKDAY(S155,T155-1,Holidays))</f>
        <v>45002</v>
      </c>
      <c r="V155" s="23"/>
      <c r="W155" s="22" t="str">
        <f t="shared" ca="1" si="190"/>
        <v/>
      </c>
      <c r="X155" s="23"/>
      <c r="Y155" s="30">
        <v>0</v>
      </c>
      <c r="Z155" s="22" t="str">
        <f t="shared" si="191"/>
        <v>Open</v>
      </c>
    </row>
    <row r="156" spans="2:26" ht="17.100000000000001" customHeight="1">
      <c r="B156" s="18">
        <v>3</v>
      </c>
      <c r="C156" s="31" t="s">
        <v>658</v>
      </c>
      <c r="D156" s="19"/>
      <c r="E156" s="19"/>
      <c r="F156" s="19" t="s">
        <v>799</v>
      </c>
      <c r="G156" s="19"/>
      <c r="H156" s="20"/>
      <c r="I156" s="22" t="s">
        <v>1</v>
      </c>
      <c r="J156" s="22" t="s">
        <v>660</v>
      </c>
      <c r="K156" s="22" t="s">
        <v>660</v>
      </c>
      <c r="L156" s="22" t="s">
        <v>1</v>
      </c>
      <c r="M156" s="22" t="s">
        <v>1</v>
      </c>
      <c r="N156" s="22" t="s">
        <v>660</v>
      </c>
      <c r="O156" s="22" t="s">
        <v>660</v>
      </c>
      <c r="P156" s="22" t="s">
        <v>1</v>
      </c>
      <c r="Q156" s="22" t="s">
        <v>660</v>
      </c>
      <c r="R156" s="22" t="s">
        <v>1</v>
      </c>
      <c r="S156" s="23">
        <v>44998</v>
      </c>
      <c r="T156" s="22">
        <v>5</v>
      </c>
      <c r="U156" s="23">
        <f>IF(AND(S156="",T156="")=TRUE,"",WORKDAY(S156,T156-1,Holidays))</f>
        <v>45002</v>
      </c>
      <c r="V156" s="23"/>
      <c r="W156" s="22" t="str">
        <f t="shared" ca="1" si="190"/>
        <v/>
      </c>
      <c r="X156" s="23"/>
      <c r="Y156" s="30">
        <v>0</v>
      </c>
      <c r="Z156" s="22" t="str">
        <f t="shared" si="191"/>
        <v>Open</v>
      </c>
    </row>
    <row r="157" spans="2:26" ht="17.100000000000001" customHeight="1">
      <c r="B157" s="18">
        <v>3</v>
      </c>
      <c r="C157" s="31" t="s">
        <v>658</v>
      </c>
      <c r="D157" s="19"/>
      <c r="E157" s="19"/>
      <c r="F157" s="19" t="s">
        <v>800</v>
      </c>
      <c r="G157" s="19"/>
      <c r="H157" s="20"/>
      <c r="I157" s="22" t="s">
        <v>1</v>
      </c>
      <c r="J157" s="22" t="s">
        <v>660</v>
      </c>
      <c r="K157" s="22" t="s">
        <v>660</v>
      </c>
      <c r="L157" s="22" t="s">
        <v>1</v>
      </c>
      <c r="M157" s="22" t="s">
        <v>1</v>
      </c>
      <c r="N157" s="22" t="s">
        <v>660</v>
      </c>
      <c r="O157" s="22" t="s">
        <v>660</v>
      </c>
      <c r="P157" s="22" t="s">
        <v>1</v>
      </c>
      <c r="Q157" s="22" t="s">
        <v>660</v>
      </c>
      <c r="R157" s="22" t="s">
        <v>1</v>
      </c>
      <c r="S157" s="23">
        <v>45005</v>
      </c>
      <c r="T157" s="22">
        <v>5</v>
      </c>
      <c r="U157" s="23">
        <f>IF(AND(S157="",T157="")=TRUE,"",WORKDAY(S157,T157-1,Holidays))</f>
        <v>45009</v>
      </c>
      <c r="V157" s="23"/>
      <c r="W157" s="22" t="str">
        <f t="shared" ca="1" si="190"/>
        <v/>
      </c>
      <c r="X157" s="23"/>
      <c r="Y157" s="30">
        <v>0</v>
      </c>
      <c r="Z157" s="22" t="str">
        <f t="shared" si="191"/>
        <v>Open</v>
      </c>
    </row>
    <row r="158" spans="2:26" ht="17.100000000000001" customHeight="1">
      <c r="B158" s="18">
        <v>2</v>
      </c>
      <c r="C158" s="31" t="s">
        <v>655</v>
      </c>
      <c r="D158" s="19"/>
      <c r="E158" s="19" t="s">
        <v>801</v>
      </c>
      <c r="F158" s="19"/>
      <c r="G158" s="19"/>
      <c r="H158" s="20"/>
      <c r="I158" s="22" t="str">
        <f t="shared" ref="I158" si="223">IF(COUNTIF(I159:I161,"●")&gt;0,"●","")</f>
        <v/>
      </c>
      <c r="J158" s="22" t="str">
        <f t="shared" ref="J158" si="224">IF(COUNTIF(J159:J161,"●")&gt;0,"●","")</f>
        <v>●</v>
      </c>
      <c r="K158" s="22" t="str">
        <f t="shared" ref="K158" si="225">IF(COUNTIF(K159:K161,"●")&gt;0,"●","")</f>
        <v>●</v>
      </c>
      <c r="L158" s="22" t="str">
        <f t="shared" ref="L158" si="226">IF(COUNTIF(L159:L161,"●")&gt;0,"●","")</f>
        <v/>
      </c>
      <c r="M158" s="22" t="str">
        <f t="shared" ref="M158" si="227">IF(COUNTIF(M159:M161,"●")&gt;0,"●","")</f>
        <v/>
      </c>
      <c r="N158" s="22" t="str">
        <f t="shared" ref="N158" si="228">IF(COUNTIF(N159:N161,"●")&gt;0,"●","")</f>
        <v>●</v>
      </c>
      <c r="O158" s="22" t="str">
        <f t="shared" ref="O158" si="229">IF(COUNTIF(O159:O161,"●")&gt;0,"●","")</f>
        <v>●</v>
      </c>
      <c r="P158" s="22" t="str">
        <f t="shared" ref="P158" si="230">IF(COUNTIF(P159:P161,"●")&gt;0,"●","")</f>
        <v/>
      </c>
      <c r="Q158" s="22" t="str">
        <f t="shared" ref="Q158" si="231">IF(COUNTIF(Q159:Q161,"●")&gt;0,"●","")</f>
        <v>●</v>
      </c>
      <c r="R158" s="22" t="str">
        <f t="shared" ref="R158" si="232">IF(COUNTIF(R159:R161,"●")&gt;0,"●","")</f>
        <v/>
      </c>
      <c r="S158" s="23">
        <f>IF(MIN(S159:S161)=0,"",MIN(S159:S161))</f>
        <v>45000</v>
      </c>
      <c r="T158" s="22">
        <f ca="1">IF(AND(S158="",U158="")=TRUE,"",IF(AND(S158&gt;0,U158="")=TRUE,NETWORKDAYS(S158,TODAY(),Holidays),NETWORKDAYS(S158,U158,Holidays)))</f>
        <v>8</v>
      </c>
      <c r="U158" s="23">
        <f>IF(MAX(U159:U161)=0,"",MAX(U159:U161))</f>
        <v>45009</v>
      </c>
      <c r="V158" s="23" t="str">
        <f>IF(MIN(V159:V161)=0,"",MIN(V159:V161))</f>
        <v/>
      </c>
      <c r="W158" s="22" t="str">
        <f t="shared" ca="1" si="190"/>
        <v/>
      </c>
      <c r="X158" s="23" t="str">
        <f>IF(MAX(X159:X161)=0,"",MAX(X159:X161))</f>
        <v/>
      </c>
      <c r="Y158" s="30">
        <f>IFERROR(AVERAGE(Y159:Y161),"")</f>
        <v>0</v>
      </c>
      <c r="Z158" s="22" t="str">
        <f t="shared" si="191"/>
        <v>Open</v>
      </c>
    </row>
    <row r="159" spans="2:26" ht="17.100000000000001" customHeight="1">
      <c r="B159" s="18">
        <v>3</v>
      </c>
      <c r="C159" s="31" t="s">
        <v>658</v>
      </c>
      <c r="D159" s="19"/>
      <c r="E159" s="19"/>
      <c r="F159" s="19" t="s">
        <v>802</v>
      </c>
      <c r="G159" s="19"/>
      <c r="H159" s="20"/>
      <c r="I159" s="22" t="s">
        <v>1</v>
      </c>
      <c r="J159" s="22" t="s">
        <v>660</v>
      </c>
      <c r="K159" s="22" t="s">
        <v>660</v>
      </c>
      <c r="L159" s="22" t="s">
        <v>1</v>
      </c>
      <c r="M159" s="22" t="s">
        <v>1</v>
      </c>
      <c r="N159" s="22" t="s">
        <v>660</v>
      </c>
      <c r="O159" s="22" t="s">
        <v>660</v>
      </c>
      <c r="P159" s="22" t="s">
        <v>1</v>
      </c>
      <c r="Q159" s="22" t="s">
        <v>660</v>
      </c>
      <c r="R159" s="22" t="s">
        <v>1</v>
      </c>
      <c r="S159" s="23">
        <v>45000</v>
      </c>
      <c r="T159" s="22">
        <v>3</v>
      </c>
      <c r="U159" s="23">
        <f>IF(AND(S159="",T159="")=TRUE,"",WORKDAY(S159,T159-1,Holidays))</f>
        <v>45002</v>
      </c>
      <c r="V159" s="23"/>
      <c r="W159" s="22" t="str">
        <f t="shared" ca="1" si="190"/>
        <v/>
      </c>
      <c r="X159" s="23"/>
      <c r="Y159" s="30">
        <v>0</v>
      </c>
      <c r="Z159" s="22" t="str">
        <f t="shared" si="191"/>
        <v>Open</v>
      </c>
    </row>
    <row r="160" spans="2:26" ht="17.100000000000001" customHeight="1">
      <c r="B160" s="18">
        <v>3</v>
      </c>
      <c r="C160" s="31" t="s">
        <v>658</v>
      </c>
      <c r="D160" s="19"/>
      <c r="E160" s="19"/>
      <c r="F160" s="19" t="s">
        <v>803</v>
      </c>
      <c r="G160" s="19"/>
      <c r="H160" s="20"/>
      <c r="I160" s="22" t="s">
        <v>1</v>
      </c>
      <c r="J160" s="22" t="s">
        <v>660</v>
      </c>
      <c r="K160" s="22" t="s">
        <v>660</v>
      </c>
      <c r="L160" s="22" t="s">
        <v>1</v>
      </c>
      <c r="M160" s="22" t="s">
        <v>1</v>
      </c>
      <c r="N160" s="22" t="s">
        <v>660</v>
      </c>
      <c r="O160" s="22" t="s">
        <v>660</v>
      </c>
      <c r="P160" s="22" t="s">
        <v>1</v>
      </c>
      <c r="Q160" s="22" t="s">
        <v>660</v>
      </c>
      <c r="R160" s="22" t="s">
        <v>1</v>
      </c>
      <c r="S160" s="23">
        <v>45005</v>
      </c>
      <c r="T160" s="22">
        <v>5</v>
      </c>
      <c r="U160" s="23">
        <f>IF(AND(S160="",T160="")=TRUE,"",WORKDAY(S160,T160-1,Holidays))</f>
        <v>45009</v>
      </c>
      <c r="V160" s="23"/>
      <c r="W160" s="22" t="str">
        <f t="shared" ca="1" si="190"/>
        <v/>
      </c>
      <c r="X160" s="23"/>
      <c r="Y160" s="30">
        <v>0</v>
      </c>
      <c r="Z160" s="22" t="str">
        <f t="shared" si="191"/>
        <v>Open</v>
      </c>
    </row>
    <row r="161" spans="2:26" ht="17.100000000000001" customHeight="1">
      <c r="B161" s="18">
        <v>3</v>
      </c>
      <c r="C161" s="31" t="s">
        <v>658</v>
      </c>
      <c r="D161" s="19"/>
      <c r="E161" s="19"/>
      <c r="F161" s="19" t="s">
        <v>804</v>
      </c>
      <c r="G161" s="19"/>
      <c r="H161" s="20"/>
      <c r="I161" s="22" t="s">
        <v>1</v>
      </c>
      <c r="J161" s="22" t="s">
        <v>660</v>
      </c>
      <c r="K161" s="22" t="s">
        <v>660</v>
      </c>
      <c r="L161" s="22" t="s">
        <v>1</v>
      </c>
      <c r="M161" s="22" t="s">
        <v>1</v>
      </c>
      <c r="N161" s="22" t="s">
        <v>660</v>
      </c>
      <c r="O161" s="22" t="s">
        <v>660</v>
      </c>
      <c r="P161" s="22" t="s">
        <v>1</v>
      </c>
      <c r="Q161" s="22" t="s">
        <v>660</v>
      </c>
      <c r="R161" s="22" t="s">
        <v>1</v>
      </c>
      <c r="S161" s="23">
        <v>45008</v>
      </c>
      <c r="T161" s="22">
        <v>2</v>
      </c>
      <c r="U161" s="23">
        <f>IF(AND(S161="",T161="")=TRUE,"",WORKDAY(S161,T161-1,Holidays))</f>
        <v>45009</v>
      </c>
      <c r="V161" s="23"/>
      <c r="W161" s="22" t="str">
        <f t="shared" ca="1" si="190"/>
        <v/>
      </c>
      <c r="X161" s="23"/>
      <c r="Y161" s="30">
        <v>0</v>
      </c>
      <c r="Z161" s="22" t="str">
        <f t="shared" si="191"/>
        <v>Open</v>
      </c>
    </row>
  </sheetData>
  <mergeCells count="5">
    <mergeCell ref="S13:U13"/>
    <mergeCell ref="V13:X13"/>
    <mergeCell ref="I13:R13"/>
    <mergeCell ref="B13:H13"/>
    <mergeCell ref="Y13:Z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318C2-5D9E-41CD-AB0A-B2452FA6D985}">
  <sheetPr codeName="Sheet10">
    <tabColor theme="7"/>
    <outlinePr summaryBelow="0" summaryRight="0"/>
    <pageSetUpPr fitToPage="1"/>
  </sheetPr>
  <dimension ref="B1:EB128"/>
  <sheetViews>
    <sheetView showGridLines="0" topLeftCell="C84" zoomScaleNormal="100" zoomScaleSheetLayoutView="80" workbookViewId="0">
      <selection activeCell="W37" sqref="W37:X39"/>
    </sheetView>
  </sheetViews>
  <sheetFormatPr defaultColWidth="4.7109375" defaultRowHeight="17.100000000000001" customHeight="1" outlineLevelCol="1"/>
  <cols>
    <col min="1" max="1" width="2.7109375" style="35" customWidth="1"/>
    <col min="2" max="3" width="9.7109375" style="39" customWidth="1"/>
    <col min="4" max="7" width="5.7109375" style="40" customWidth="1"/>
    <col min="8" max="8" width="60.7109375" style="40" customWidth="1"/>
    <col min="9" max="10" width="11" style="41" customWidth="1" outlineLevel="1"/>
    <col min="11" max="12" width="11" style="41" hidden="1" customWidth="1" outlineLevel="1"/>
    <col min="13" max="15" width="11" style="41" customWidth="1" outlineLevel="1"/>
    <col min="16" max="22" width="11" style="41" hidden="1" customWidth="1" outlineLevel="1"/>
    <col min="23" max="23" width="17.7109375" style="38" customWidth="1"/>
    <col min="24" max="24" width="17.7109375" style="35" customWidth="1"/>
    <col min="25" max="25" width="17.7109375" style="38" customWidth="1"/>
    <col min="26" max="26" width="17.7109375" style="38" customWidth="1" outlineLevel="1"/>
    <col min="27" max="27" width="17.7109375" style="35" customWidth="1" outlineLevel="1"/>
    <col min="28" max="28" width="17.7109375" style="38" customWidth="1" outlineLevel="1"/>
    <col min="29" max="30" width="17.85546875" style="42" customWidth="1"/>
    <col min="31" max="31" width="11" style="42" bestFit="1" customWidth="1"/>
    <col min="32" max="132" width="5.7109375" style="67" customWidth="1" outlineLevel="1"/>
    <col min="133" max="16384" width="4.7109375" style="35"/>
  </cols>
  <sheetData>
    <row r="1" spans="2:132" ht="9.9499999999999993" customHeight="1">
      <c r="B1" s="35"/>
      <c r="C1" s="35"/>
      <c r="D1" s="35"/>
      <c r="E1" s="35"/>
      <c r="F1" s="35"/>
      <c r="G1" s="35"/>
      <c r="H1" s="35"/>
      <c r="W1" s="41"/>
      <c r="X1" s="41"/>
      <c r="Y1" s="41"/>
    </row>
    <row r="2" spans="2:132" s="50" customFormat="1" ht="30.2" customHeight="1">
      <c r="B2" s="170" t="s">
        <v>805</v>
      </c>
      <c r="C2" s="170"/>
      <c r="D2" s="170"/>
      <c r="E2" s="170"/>
      <c r="F2" s="170"/>
      <c r="G2" s="170"/>
      <c r="H2" s="170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2"/>
      <c r="AB2" s="52"/>
      <c r="AC2" s="53"/>
      <c r="AD2" s="53"/>
      <c r="AE2" s="53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</row>
    <row r="3" spans="2:132" ht="5.0999999999999996" customHeight="1">
      <c r="B3" s="35"/>
      <c r="C3" s="35"/>
      <c r="D3" s="35"/>
      <c r="E3" s="35"/>
      <c r="F3" s="35"/>
      <c r="G3" s="35"/>
      <c r="H3" s="35"/>
      <c r="W3" s="41"/>
      <c r="X3" s="41"/>
      <c r="Y3" s="41"/>
    </row>
    <row r="4" spans="2:132" ht="21.2" customHeight="1">
      <c r="L4" s="35"/>
      <c r="O4" s="35"/>
      <c r="P4" s="35"/>
      <c r="Q4" s="35"/>
      <c r="R4" s="35"/>
      <c r="S4" s="35"/>
      <c r="T4" s="35"/>
      <c r="W4" s="41"/>
      <c r="X4" s="41"/>
      <c r="Y4" s="41"/>
      <c r="Z4" s="35"/>
      <c r="AB4" s="41"/>
      <c r="AC4" s="41"/>
      <c r="AD4" s="57"/>
      <c r="AE4" s="54" t="str">
        <f>Table_Developer!B15</f>
        <v/>
      </c>
      <c r="AF4" s="124"/>
      <c r="AG4" s="122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/>
      <c r="BK4" s="69"/>
      <c r="BL4" s="69"/>
      <c r="BM4" s="69"/>
      <c r="BN4" s="69"/>
      <c r="BO4" s="69"/>
      <c r="BP4" s="69"/>
      <c r="BQ4" s="69"/>
      <c r="BR4" s="69"/>
      <c r="BS4" s="69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  <c r="DE4" s="69"/>
      <c r="DF4" s="69"/>
      <c r="DG4" s="69"/>
      <c r="DH4" s="69"/>
      <c r="DI4" s="69"/>
      <c r="DJ4" s="69"/>
      <c r="DK4" s="69"/>
      <c r="DL4" s="69"/>
      <c r="DM4" s="69"/>
      <c r="DN4" s="69"/>
      <c r="DO4" s="69"/>
      <c r="DP4" s="69"/>
      <c r="DQ4" s="69"/>
      <c r="DR4" s="69"/>
      <c r="DS4" s="69"/>
      <c r="DT4" s="69"/>
      <c r="DU4" s="69"/>
      <c r="DV4" s="69"/>
      <c r="DW4" s="69"/>
      <c r="DX4" s="69"/>
      <c r="DY4" s="69"/>
      <c r="DZ4" s="69"/>
      <c r="EA4" s="69"/>
      <c r="EB4" s="69"/>
    </row>
    <row r="5" spans="2:132" ht="21.2" customHeight="1">
      <c r="W5" s="41"/>
      <c r="X5" s="41"/>
      <c r="Y5" s="41"/>
      <c r="Z5" s="41"/>
      <c r="AA5" s="41"/>
      <c r="AB5" s="41"/>
      <c r="AC5" s="41"/>
      <c r="AD5" s="57"/>
      <c r="AE5" s="55" t="str">
        <f>Table_Developer!B14</f>
        <v/>
      </c>
      <c r="AF5" s="70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</row>
    <row r="6" spans="2:132" ht="21.2" customHeight="1">
      <c r="W6" s="41"/>
      <c r="X6" s="41"/>
      <c r="Y6" s="41"/>
      <c r="Z6" s="41"/>
      <c r="AA6" s="41"/>
      <c r="AB6" s="41"/>
      <c r="AC6" s="41"/>
      <c r="AD6" s="57"/>
      <c r="AE6" s="55" t="str">
        <f>Table_Developer!B13</f>
        <v/>
      </c>
      <c r="AF6" s="70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</row>
    <row r="7" spans="2:132" ht="21.2" customHeight="1" thickBot="1">
      <c r="W7" s="41"/>
      <c r="X7" s="41"/>
      <c r="Y7" s="41"/>
      <c r="Z7" s="41"/>
      <c r="AA7" s="41"/>
      <c r="AB7" s="41"/>
      <c r="AC7" s="41"/>
      <c r="AD7" s="57"/>
      <c r="AE7" s="55" t="str">
        <f>Table_Developer!B12</f>
        <v/>
      </c>
      <c r="AF7" s="70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</row>
    <row r="8" spans="2:132" ht="21.2" customHeight="1" thickBot="1">
      <c r="B8" s="179" t="s">
        <v>806</v>
      </c>
      <c r="C8" s="180"/>
      <c r="D8" s="180"/>
      <c r="E8" s="180"/>
      <c r="F8" s="180"/>
      <c r="G8" s="180"/>
      <c r="H8" s="181"/>
      <c r="W8" s="188" t="s">
        <v>807</v>
      </c>
      <c r="X8" s="189"/>
      <c r="Y8" s="190"/>
      <c r="Z8" s="41"/>
      <c r="AA8" s="41"/>
      <c r="AB8" s="41"/>
      <c r="AC8" s="41"/>
      <c r="AD8" s="57"/>
      <c r="AE8" s="55" t="str">
        <f>Table_Developer!B11</f>
        <v/>
      </c>
      <c r="AF8" s="70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</row>
    <row r="9" spans="2:132" ht="21.2" customHeight="1" thickTop="1" thickBot="1">
      <c r="B9" s="182"/>
      <c r="C9" s="183"/>
      <c r="D9" s="183"/>
      <c r="E9" s="183"/>
      <c r="F9" s="183"/>
      <c r="G9" s="183"/>
      <c r="H9" s="184"/>
      <c r="W9" s="185" t="s">
        <v>808</v>
      </c>
      <c r="X9" s="186"/>
      <c r="Y9" s="130">
        <f>AVERAGE($AC$17:$AC$128)</f>
        <v>0.14925595238095241</v>
      </c>
      <c r="Z9" s="41"/>
      <c r="AA9" s="41"/>
      <c r="AB9" s="41"/>
      <c r="AC9" s="41"/>
      <c r="AD9" s="57"/>
      <c r="AE9" s="55" t="str">
        <f>Table_Developer!B10</f>
        <v/>
      </c>
      <c r="AF9" s="70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</row>
    <row r="10" spans="2:132" ht="21.2" customHeight="1">
      <c r="B10" s="173" t="s">
        <v>809</v>
      </c>
      <c r="C10" s="174"/>
      <c r="D10" s="171" t="str" cm="1">
        <f t="array" ref="D10">Table_Project[프로젝트_시작일자]</f>
        <v>2023-06-12</v>
      </c>
      <c r="E10" s="171"/>
      <c r="F10" s="171"/>
      <c r="G10" s="171"/>
      <c r="H10" s="177">
        <f>NETWORKDAYS($D$10,$D$11,Holidays)</f>
        <v>85</v>
      </c>
      <c r="W10" s="173" t="s">
        <v>810</v>
      </c>
      <c r="X10" s="131" t="s">
        <v>811</v>
      </c>
      <c r="Y10" s="129">
        <f>SUM(Y11:Y13)</f>
        <v>80</v>
      </c>
      <c r="Z10" s="41"/>
      <c r="AA10" s="41"/>
      <c r="AB10" s="41"/>
      <c r="AC10" s="41"/>
      <c r="AD10" s="57"/>
      <c r="AE10" s="55" t="str">
        <f>Table_Developer!B9</f>
        <v>정민정 선임</v>
      </c>
      <c r="AF10" s="70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</row>
    <row r="11" spans="2:132" ht="21.2" customHeight="1">
      <c r="B11" s="175" t="s">
        <v>812</v>
      </c>
      <c r="C11" s="176"/>
      <c r="D11" s="172" cm="1">
        <f t="array" ref="D11">Table_Project[프로젝트_종료일자]</f>
        <v>45212</v>
      </c>
      <c r="E11" s="172"/>
      <c r="F11" s="172"/>
      <c r="G11" s="172"/>
      <c r="H11" s="178"/>
      <c r="W11" s="175"/>
      <c r="X11" s="132" t="s">
        <v>813</v>
      </c>
      <c r="Y11" s="127">
        <f>COUNTIFS($C$17:$C$1048576,"Y",$AD$17:$AD$1048576,$X$11)</f>
        <v>12</v>
      </c>
      <c r="Z11" s="41"/>
      <c r="AA11" s="41"/>
      <c r="AB11" s="41"/>
      <c r="AC11" s="41"/>
      <c r="AD11" s="57"/>
      <c r="AE11" s="55" t="str">
        <f>Table_Developer!B7</f>
        <v>김병준 선임</v>
      </c>
      <c r="AF11" s="70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</row>
    <row r="12" spans="2:132" ht="21.2" customHeight="1">
      <c r="B12" s="175" t="s">
        <v>814</v>
      </c>
      <c r="C12" s="176"/>
      <c r="D12" s="172">
        <f ca="1">TODAY()</f>
        <v>45447</v>
      </c>
      <c r="E12" s="172"/>
      <c r="F12" s="172"/>
      <c r="G12" s="172"/>
      <c r="H12" s="134">
        <f ca="1">NETWORKDAYS($D$10,$D$12,Holidays)</f>
        <v>252</v>
      </c>
      <c r="W12" s="175"/>
      <c r="X12" s="132" t="s">
        <v>815</v>
      </c>
      <c r="Y12" s="127">
        <f>COUNTIFS($C$17:$C$1048576,"Y",$AD$17:$AD$1048576,$X$12)</f>
        <v>12</v>
      </c>
      <c r="Z12" s="41"/>
      <c r="AA12" s="41"/>
      <c r="AB12" s="41"/>
      <c r="AC12" s="41"/>
      <c r="AD12" s="57"/>
      <c r="AE12" s="55" t="str">
        <f>Table_Developer!B6</f>
        <v>신유지 선임</v>
      </c>
      <c r="AF12" s="74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</row>
    <row r="13" spans="2:132" ht="21.2" customHeight="1" thickBot="1">
      <c r="B13" s="187"/>
      <c r="C13" s="198"/>
      <c r="D13" s="199"/>
      <c r="E13" s="199"/>
      <c r="F13" s="199"/>
      <c r="G13" s="199"/>
      <c r="H13" s="135">
        <f ca="1">$H$10-$H$12</f>
        <v>-167</v>
      </c>
      <c r="W13" s="187"/>
      <c r="X13" s="133" t="s">
        <v>816</v>
      </c>
      <c r="Y13" s="128">
        <f>COUNTIFS($C$17:$C$1048576,"Y",$AD$17:$AD$1048576,$X$13)</f>
        <v>56</v>
      </c>
      <c r="Z13" s="41"/>
      <c r="AA13" s="41"/>
      <c r="AB13" s="41"/>
      <c r="AC13" s="41"/>
      <c r="AD13" s="57"/>
      <c r="AE13" s="56" t="str">
        <f>Table_Developer!B5</f>
        <v>정진우 수석</v>
      </c>
      <c r="AF13" s="75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  <c r="CY13" s="77"/>
      <c r="CZ13" s="77"/>
      <c r="DA13" s="77"/>
      <c r="DB13" s="77"/>
      <c r="DC13" s="77"/>
      <c r="DD13" s="77"/>
      <c r="DE13" s="77"/>
      <c r="DF13" s="77"/>
      <c r="DG13" s="77"/>
      <c r="DH13" s="77"/>
      <c r="DI13" s="77"/>
      <c r="DJ13" s="77"/>
      <c r="DK13" s="77"/>
      <c r="DL13" s="77"/>
      <c r="DM13" s="77"/>
      <c r="DN13" s="77"/>
      <c r="DO13" s="77"/>
      <c r="DP13" s="77"/>
      <c r="DQ13" s="77"/>
      <c r="DR13" s="77"/>
      <c r="DS13" s="77"/>
      <c r="DT13" s="77"/>
      <c r="DU13" s="77"/>
      <c r="DV13" s="77"/>
      <c r="DW13" s="77"/>
      <c r="DX13" s="77"/>
      <c r="DY13" s="77"/>
      <c r="DZ13" s="77"/>
      <c r="EA13" s="77"/>
      <c r="EB13" s="77"/>
    </row>
    <row r="14" spans="2:132" ht="5.0999999999999996" customHeight="1">
      <c r="B14" s="41"/>
      <c r="C14" s="41"/>
      <c r="D14" s="41"/>
      <c r="E14" s="41"/>
      <c r="F14" s="41"/>
      <c r="G14" s="41"/>
      <c r="H14" s="41"/>
      <c r="W14" s="41"/>
      <c r="X14" s="41"/>
      <c r="Y14" s="41"/>
      <c r="Z14" s="41"/>
      <c r="AA14" s="43"/>
      <c r="AB14" s="44"/>
      <c r="AC14" s="41"/>
      <c r="AD14" s="41"/>
      <c r="AE14" s="49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</row>
    <row r="15" spans="2:132" s="36" customFormat="1" ht="25.15" customHeight="1">
      <c r="B15" s="193" t="s">
        <v>817</v>
      </c>
      <c r="C15" s="193"/>
      <c r="D15" s="193"/>
      <c r="E15" s="193"/>
      <c r="F15" s="193"/>
      <c r="G15" s="193"/>
      <c r="H15" s="194"/>
      <c r="I15" s="149"/>
      <c r="J15" s="149"/>
      <c r="K15" s="149"/>
      <c r="L15" s="149"/>
      <c r="M15" s="195" t="s">
        <v>636</v>
      </c>
      <c r="N15" s="196"/>
      <c r="O15" s="196"/>
      <c r="P15" s="196"/>
      <c r="Q15" s="196"/>
      <c r="R15" s="196"/>
      <c r="S15" s="196"/>
      <c r="T15" s="196"/>
      <c r="U15" s="196"/>
      <c r="V15" s="197"/>
      <c r="W15" s="195" t="s">
        <v>818</v>
      </c>
      <c r="X15" s="196"/>
      <c r="Y15" s="197"/>
      <c r="Z15" s="195" t="s">
        <v>819</v>
      </c>
      <c r="AA15" s="196"/>
      <c r="AB15" s="197"/>
      <c r="AC15" s="200" t="s">
        <v>639</v>
      </c>
      <c r="AD15" s="201"/>
      <c r="AE15" s="191" t="s">
        <v>820</v>
      </c>
      <c r="AF15" s="102" cm="1">
        <f t="array" ref="AF15">INDEX(Table_CalendarWD[프로젝트일자],COLUMN()-31,1)</f>
        <v>45089</v>
      </c>
      <c r="AG15" s="103" cm="1">
        <f t="array" ref="AG15">INDEX(Table_CalendarWD[프로젝트일자],COLUMN()-31,1)</f>
        <v>45090</v>
      </c>
      <c r="AH15" s="103" cm="1">
        <f t="array" ref="AH15">INDEX(Table_CalendarWD[프로젝트일자],COLUMN()-31,1)</f>
        <v>45091</v>
      </c>
      <c r="AI15" s="103" cm="1">
        <f t="array" ref="AI15">INDEX(Table_CalendarWD[프로젝트일자],COLUMN()-31,1)</f>
        <v>45092</v>
      </c>
      <c r="AJ15" s="103" cm="1">
        <f t="array" ref="AJ15">INDEX(Table_CalendarWD[프로젝트일자],COLUMN()-31,1)</f>
        <v>45093</v>
      </c>
      <c r="AK15" s="103" cm="1">
        <f t="array" ref="AK15">INDEX(Table_CalendarWD[프로젝트일자],COLUMN()-31,1)</f>
        <v>45096</v>
      </c>
      <c r="AL15" s="103" cm="1">
        <f t="array" ref="AL15">INDEX(Table_CalendarWD[프로젝트일자],COLUMN()-31,1)</f>
        <v>45097</v>
      </c>
      <c r="AM15" s="103" cm="1">
        <f t="array" ref="AM15">INDEX(Table_CalendarWD[프로젝트일자],COLUMN()-31,1)</f>
        <v>45098</v>
      </c>
      <c r="AN15" s="103" cm="1">
        <f t="array" ref="AN15">INDEX(Table_CalendarWD[프로젝트일자],COLUMN()-31,1)</f>
        <v>45099</v>
      </c>
      <c r="AO15" s="103" cm="1">
        <f t="array" ref="AO15">INDEX(Table_CalendarWD[프로젝트일자],COLUMN()-31,1)</f>
        <v>45100</v>
      </c>
      <c r="AP15" s="103" cm="1">
        <f t="array" ref="AP15">INDEX(Table_CalendarWD[프로젝트일자],COLUMN()-31,1)</f>
        <v>45103</v>
      </c>
      <c r="AQ15" s="103" cm="1">
        <f t="array" ref="AQ15">INDEX(Table_CalendarWD[프로젝트일자],COLUMN()-31,1)</f>
        <v>45104</v>
      </c>
      <c r="AR15" s="103" cm="1">
        <f t="array" ref="AR15">INDEX(Table_CalendarWD[프로젝트일자],COLUMN()-31,1)</f>
        <v>45105</v>
      </c>
      <c r="AS15" s="103" cm="1">
        <f t="array" ref="AS15">INDEX(Table_CalendarWD[프로젝트일자],COLUMN()-31,1)</f>
        <v>45106</v>
      </c>
      <c r="AT15" s="103" cm="1">
        <f t="array" ref="AT15">INDEX(Table_CalendarWD[프로젝트일자],COLUMN()-31,1)</f>
        <v>45107</v>
      </c>
      <c r="AU15" s="103" cm="1">
        <f t="array" ref="AU15">INDEX(Table_CalendarWD[프로젝트일자],COLUMN()-31,1)</f>
        <v>45110</v>
      </c>
      <c r="AV15" s="103" cm="1">
        <f t="array" ref="AV15">INDEX(Table_CalendarWD[프로젝트일자],COLUMN()-31,1)</f>
        <v>45111</v>
      </c>
      <c r="AW15" s="103" cm="1">
        <f t="array" ref="AW15">INDEX(Table_CalendarWD[프로젝트일자],COLUMN()-31,1)</f>
        <v>45112</v>
      </c>
      <c r="AX15" s="103" cm="1">
        <f t="array" ref="AX15">INDEX(Table_CalendarWD[프로젝트일자],COLUMN()-31,1)</f>
        <v>45113</v>
      </c>
      <c r="AY15" s="103" cm="1">
        <f t="array" ref="AY15">INDEX(Table_CalendarWD[프로젝트일자],COLUMN()-31,1)</f>
        <v>45114</v>
      </c>
      <c r="AZ15" s="103" cm="1">
        <f t="array" ref="AZ15">INDEX(Table_CalendarWD[프로젝트일자],COLUMN()-31,1)</f>
        <v>45117</v>
      </c>
      <c r="BA15" s="103" cm="1">
        <f t="array" ref="BA15">INDEX(Table_CalendarWD[프로젝트일자],COLUMN()-31,1)</f>
        <v>45118</v>
      </c>
      <c r="BB15" s="103" cm="1">
        <f t="array" ref="BB15">INDEX(Table_CalendarWD[프로젝트일자],COLUMN()-31,1)</f>
        <v>45119</v>
      </c>
      <c r="BC15" s="103" cm="1">
        <f t="array" ref="BC15">INDEX(Table_CalendarWD[프로젝트일자],COLUMN()-31,1)</f>
        <v>45120</v>
      </c>
      <c r="BD15" s="103" cm="1">
        <f t="array" ref="BD15">INDEX(Table_CalendarWD[프로젝트일자],COLUMN()-31,1)</f>
        <v>45121</v>
      </c>
      <c r="BE15" s="103" cm="1">
        <f t="array" ref="BE15">INDEX(Table_CalendarWD[프로젝트일자],COLUMN()-31,1)</f>
        <v>45124</v>
      </c>
      <c r="BF15" s="103" cm="1">
        <f t="array" ref="BF15">INDEX(Table_CalendarWD[프로젝트일자],COLUMN()-31,1)</f>
        <v>45125</v>
      </c>
      <c r="BG15" s="103" cm="1">
        <f t="array" ref="BG15">INDEX(Table_CalendarWD[프로젝트일자],COLUMN()-31,1)</f>
        <v>45126</v>
      </c>
      <c r="BH15" s="103" cm="1">
        <f t="array" ref="BH15">INDEX(Table_CalendarWD[프로젝트일자],COLUMN()-31,1)</f>
        <v>45127</v>
      </c>
      <c r="BI15" s="103" cm="1">
        <f t="array" ref="BI15">INDEX(Table_CalendarWD[프로젝트일자],COLUMN()-31,1)</f>
        <v>45128</v>
      </c>
      <c r="BJ15" s="103" cm="1">
        <f t="array" ref="BJ15">INDEX(Table_CalendarWD[프로젝트일자],COLUMN()-31,1)</f>
        <v>45131</v>
      </c>
      <c r="BK15" s="103" cm="1">
        <f t="array" ref="BK15">INDEX(Table_CalendarWD[프로젝트일자],COLUMN()-31,1)</f>
        <v>45132</v>
      </c>
      <c r="BL15" s="103" cm="1">
        <f t="array" ref="BL15">INDEX(Table_CalendarWD[프로젝트일자],COLUMN()-31,1)</f>
        <v>45133</v>
      </c>
      <c r="BM15" s="103" cm="1">
        <f t="array" ref="BM15">INDEX(Table_CalendarWD[프로젝트일자],COLUMN()-31,1)</f>
        <v>45134</v>
      </c>
      <c r="BN15" s="103" cm="1">
        <f t="array" ref="BN15">INDEX(Table_CalendarWD[프로젝트일자],COLUMN()-31,1)</f>
        <v>45135</v>
      </c>
      <c r="BO15" s="103" cm="1">
        <f t="array" ref="BO15">INDEX(Table_CalendarWD[프로젝트일자],COLUMN()-31,1)</f>
        <v>45138</v>
      </c>
      <c r="BP15" s="103" cm="1">
        <f t="array" ref="BP15">INDEX(Table_CalendarWD[프로젝트일자],COLUMN()-31,1)</f>
        <v>45139</v>
      </c>
      <c r="BQ15" s="103" cm="1">
        <f t="array" ref="BQ15">INDEX(Table_CalendarWD[프로젝트일자],COLUMN()-31,1)</f>
        <v>45140</v>
      </c>
      <c r="BR15" s="103" cm="1">
        <f t="array" ref="BR15">INDEX(Table_CalendarWD[프로젝트일자],COLUMN()-31,1)</f>
        <v>45141</v>
      </c>
      <c r="BS15" s="103" cm="1">
        <f t="array" ref="BS15">INDEX(Table_CalendarWD[프로젝트일자],COLUMN()-31,1)</f>
        <v>45142</v>
      </c>
      <c r="BT15" s="103" cm="1">
        <f t="array" ref="BT15">INDEX(Table_CalendarWD[프로젝트일자],COLUMN()-31,1)</f>
        <v>45145</v>
      </c>
      <c r="BU15" s="103" cm="1">
        <f t="array" ref="BU15">INDEX(Table_CalendarWD[프로젝트일자],COLUMN()-31,1)</f>
        <v>45146</v>
      </c>
      <c r="BV15" s="103" cm="1">
        <f t="array" ref="BV15">INDEX(Table_CalendarWD[프로젝트일자],COLUMN()-31,1)</f>
        <v>45147</v>
      </c>
      <c r="BW15" s="103" cm="1">
        <f t="array" ref="BW15">INDEX(Table_CalendarWD[프로젝트일자],COLUMN()-31,1)</f>
        <v>45148</v>
      </c>
      <c r="BX15" s="103" cm="1">
        <f t="array" ref="BX15">INDEX(Table_CalendarWD[프로젝트일자],COLUMN()-31,1)</f>
        <v>45149</v>
      </c>
      <c r="BY15" s="103" cm="1">
        <f t="array" ref="BY15">INDEX(Table_CalendarWD[프로젝트일자],COLUMN()-31,1)</f>
        <v>45152</v>
      </c>
      <c r="BZ15" s="103" cm="1">
        <f t="array" ref="BZ15">INDEX(Table_CalendarWD[프로젝트일자],COLUMN()-31,1)</f>
        <v>45154</v>
      </c>
      <c r="CA15" s="103" cm="1">
        <f t="array" ref="CA15">INDEX(Table_CalendarWD[프로젝트일자],COLUMN()-31,1)</f>
        <v>45155</v>
      </c>
      <c r="CB15" s="103" cm="1">
        <f t="array" ref="CB15">INDEX(Table_CalendarWD[프로젝트일자],COLUMN()-31,1)</f>
        <v>45156</v>
      </c>
      <c r="CC15" s="103" cm="1">
        <f t="array" ref="CC15">INDEX(Table_CalendarWD[프로젝트일자],COLUMN()-31,1)</f>
        <v>45159</v>
      </c>
      <c r="CD15" s="103" cm="1">
        <f t="array" ref="CD15">INDEX(Table_CalendarWD[프로젝트일자],COLUMN()-31,1)</f>
        <v>45160</v>
      </c>
      <c r="CE15" s="103" cm="1">
        <f t="array" ref="CE15">INDEX(Table_CalendarWD[프로젝트일자],COLUMN()-31,1)</f>
        <v>45161</v>
      </c>
      <c r="CF15" s="103" cm="1">
        <f t="array" ref="CF15">INDEX(Table_CalendarWD[프로젝트일자],COLUMN()-31,1)</f>
        <v>45162</v>
      </c>
      <c r="CG15" s="103" cm="1">
        <f t="array" ref="CG15">INDEX(Table_CalendarWD[프로젝트일자],COLUMN()-31,1)</f>
        <v>45163</v>
      </c>
      <c r="CH15" s="103" cm="1">
        <f t="array" ref="CH15">INDEX(Table_CalendarWD[프로젝트일자],COLUMN()-31,1)</f>
        <v>45166</v>
      </c>
      <c r="CI15" s="103" cm="1">
        <f t="array" ref="CI15">INDEX(Table_CalendarWD[프로젝트일자],COLUMN()-31,1)</f>
        <v>45167</v>
      </c>
      <c r="CJ15" s="103" cm="1">
        <f t="array" ref="CJ15">INDEX(Table_CalendarWD[프로젝트일자],COLUMN()-31,1)</f>
        <v>45168</v>
      </c>
      <c r="CK15" s="103" cm="1">
        <f t="array" ref="CK15">INDEX(Table_CalendarWD[프로젝트일자],COLUMN()-31,1)</f>
        <v>45169</v>
      </c>
      <c r="CL15" s="103" cm="1">
        <f t="array" ref="CL15">INDEX(Table_CalendarWD[프로젝트일자],COLUMN()-31,1)</f>
        <v>45170</v>
      </c>
      <c r="CM15" s="103" cm="1">
        <f t="array" ref="CM15">INDEX(Table_CalendarWD[프로젝트일자],COLUMN()-31,1)</f>
        <v>45173</v>
      </c>
      <c r="CN15" s="103" cm="1">
        <f t="array" ref="CN15">INDEX(Table_CalendarWD[프로젝트일자],COLUMN()-31,1)</f>
        <v>45174</v>
      </c>
      <c r="CO15" s="103" cm="1">
        <f t="array" ref="CO15">INDEX(Table_CalendarWD[프로젝트일자],COLUMN()-31,1)</f>
        <v>45175</v>
      </c>
      <c r="CP15" s="103" cm="1">
        <f t="array" ref="CP15">INDEX(Table_CalendarWD[프로젝트일자],COLUMN()-31,1)</f>
        <v>45176</v>
      </c>
      <c r="CQ15" s="103" cm="1">
        <f t="array" ref="CQ15">INDEX(Table_CalendarWD[프로젝트일자],COLUMN()-31,1)</f>
        <v>45177</v>
      </c>
      <c r="CR15" s="103" cm="1">
        <f t="array" ref="CR15">INDEX(Table_CalendarWD[프로젝트일자],COLUMN()-31,1)</f>
        <v>45180</v>
      </c>
      <c r="CS15" s="103" cm="1">
        <f t="array" ref="CS15">INDEX(Table_CalendarWD[프로젝트일자],COLUMN()-31,1)</f>
        <v>45181</v>
      </c>
      <c r="CT15" s="103" cm="1">
        <f t="array" ref="CT15">INDEX(Table_CalendarWD[프로젝트일자],COLUMN()-31,1)</f>
        <v>45182</v>
      </c>
      <c r="CU15" s="103" cm="1">
        <f t="array" ref="CU15">INDEX(Table_CalendarWD[프로젝트일자],COLUMN()-31,1)</f>
        <v>45183</v>
      </c>
      <c r="CV15" s="103" cm="1">
        <f t="array" ref="CV15">INDEX(Table_CalendarWD[프로젝트일자],COLUMN()-31,1)</f>
        <v>45184</v>
      </c>
      <c r="CW15" s="103" cm="1">
        <f t="array" ref="CW15">INDEX(Table_CalendarWD[프로젝트일자],COLUMN()-31,1)</f>
        <v>45187</v>
      </c>
      <c r="CX15" s="103" cm="1">
        <f t="array" ref="CX15">INDEX(Table_CalendarWD[프로젝트일자],COLUMN()-31,1)</f>
        <v>45188</v>
      </c>
      <c r="CY15" s="103" cm="1">
        <f t="array" ref="CY15">INDEX(Table_CalendarWD[프로젝트일자],COLUMN()-31,1)</f>
        <v>45189</v>
      </c>
      <c r="CZ15" s="103" cm="1">
        <f t="array" ref="CZ15">INDEX(Table_CalendarWD[프로젝트일자],COLUMN()-31,1)</f>
        <v>45190</v>
      </c>
      <c r="DA15" s="103" cm="1">
        <f t="array" ref="DA15">INDEX(Table_CalendarWD[프로젝트일자],COLUMN()-31,1)</f>
        <v>45191</v>
      </c>
      <c r="DB15" s="103" cm="1">
        <f t="array" ref="DB15">INDEX(Table_CalendarWD[프로젝트일자],COLUMN()-31,1)</f>
        <v>45194</v>
      </c>
      <c r="DC15" s="103" cm="1">
        <f t="array" ref="DC15">INDEX(Table_CalendarWD[프로젝트일자],COLUMN()-31,1)</f>
        <v>45195</v>
      </c>
      <c r="DD15" s="103" cm="1">
        <f t="array" ref="DD15">INDEX(Table_CalendarWD[프로젝트일자],COLUMN()-31,1)</f>
        <v>45196</v>
      </c>
      <c r="DE15" s="103" cm="1">
        <f t="array" ref="DE15">INDEX(Table_CalendarWD[프로젝트일자],COLUMN()-31,1)</f>
        <v>45201</v>
      </c>
      <c r="DF15" s="103" cm="1">
        <f t="array" ref="DF15">INDEX(Table_CalendarWD[프로젝트일자],COLUMN()-31,1)</f>
        <v>45203</v>
      </c>
      <c r="DG15" s="103" cm="1">
        <f t="array" ref="DG15">INDEX(Table_CalendarWD[프로젝트일자],COLUMN()-31,1)</f>
        <v>45204</v>
      </c>
      <c r="DH15" s="103" cm="1">
        <f t="array" ref="DH15">INDEX(Table_CalendarWD[프로젝트일자],COLUMN()-31,1)</f>
        <v>45205</v>
      </c>
      <c r="DI15" s="103" cm="1">
        <f t="array" ref="DI15">INDEX(Table_CalendarWD[프로젝트일자],COLUMN()-31,1)</f>
        <v>45209</v>
      </c>
      <c r="DJ15" s="103" cm="1">
        <f t="array" ref="DJ15">INDEX(Table_CalendarWD[프로젝트일자],COLUMN()-31,1)</f>
        <v>45210</v>
      </c>
      <c r="DK15" s="103" cm="1">
        <f t="array" ref="DK15">INDEX(Table_CalendarWD[프로젝트일자],COLUMN()-31,1)</f>
        <v>45211</v>
      </c>
      <c r="DL15" s="103" cm="1">
        <f t="array" ref="DL15">INDEX(Table_CalendarWD[프로젝트일자],COLUMN()-31,1)</f>
        <v>45212</v>
      </c>
      <c r="DM15" s="103" cm="1">
        <f t="array" ref="DM15">INDEX(Table_CalendarWD[프로젝트일자],COLUMN()-31,1)</f>
        <v>45215</v>
      </c>
      <c r="DN15" s="103" cm="1">
        <f t="array" ref="DN15">INDEX(Table_CalendarWD[프로젝트일자],COLUMN()-31,1)</f>
        <v>45216</v>
      </c>
      <c r="DO15" s="103" cm="1">
        <f t="array" ref="DO15">INDEX(Table_CalendarWD[프로젝트일자],COLUMN()-31,1)</f>
        <v>45217</v>
      </c>
      <c r="DP15" s="103" cm="1">
        <f t="array" ref="DP15">INDEX(Table_CalendarWD[프로젝트일자],COLUMN()-31,1)</f>
        <v>45218</v>
      </c>
      <c r="DQ15" s="103" cm="1">
        <f t="array" ref="DQ15">INDEX(Table_CalendarWD[프로젝트일자],COLUMN()-31,1)</f>
        <v>45219</v>
      </c>
      <c r="DR15" s="103" cm="1">
        <f t="array" ref="DR15">INDEX(Table_CalendarWD[프로젝트일자],COLUMN()-31,1)</f>
        <v>45222</v>
      </c>
      <c r="DS15" s="103" cm="1">
        <f t="array" ref="DS15">INDEX(Table_CalendarWD[프로젝트일자],COLUMN()-31,1)</f>
        <v>45223</v>
      </c>
      <c r="DT15" s="103" cm="1">
        <f t="array" ref="DT15">INDEX(Table_CalendarWD[프로젝트일자],COLUMN()-31,1)</f>
        <v>45224</v>
      </c>
      <c r="DU15" s="103" cm="1">
        <f t="array" ref="DU15">INDEX(Table_CalendarWD[프로젝트일자],COLUMN()-31,1)</f>
        <v>45225</v>
      </c>
      <c r="DV15" s="103" cm="1">
        <f t="array" ref="DV15">INDEX(Table_CalendarWD[프로젝트일자],COLUMN()-31,1)</f>
        <v>45226</v>
      </c>
      <c r="DW15" s="103" cm="1">
        <f t="array" ref="DW15">INDEX(Table_CalendarWD[프로젝트일자],COLUMN()-31,1)</f>
        <v>45229</v>
      </c>
      <c r="DX15" s="103" cm="1">
        <f t="array" ref="DX15">INDEX(Table_CalendarWD[프로젝트일자],COLUMN()-31,1)</f>
        <v>45230</v>
      </c>
      <c r="DY15" s="103" cm="1">
        <f t="array" ref="DY15">INDEX(Table_CalendarWD[프로젝트일자],COLUMN()-31,1)</f>
        <v>45231</v>
      </c>
      <c r="DZ15" s="103" cm="1">
        <f t="array" ref="DZ15">INDEX(Table_CalendarWD[프로젝트일자],COLUMN()-31,1)</f>
        <v>45232</v>
      </c>
      <c r="EA15" s="103" cm="1">
        <f t="array" ref="EA15">INDEX(Table_CalendarWD[프로젝트일자],COLUMN()-31,1)</f>
        <v>45233</v>
      </c>
      <c r="EB15" s="103" cm="1">
        <f t="array" ref="EB15">INDEX(Table_CalendarWD[프로젝트일자],COLUMN()-31,1)</f>
        <v>45236</v>
      </c>
    </row>
    <row r="16" spans="2:132" s="37" customFormat="1" ht="25.15" customHeight="1" thickBot="1">
      <c r="B16" s="104" t="s">
        <v>821</v>
      </c>
      <c r="C16" s="104" t="s">
        <v>822</v>
      </c>
      <c r="D16" s="105" t="s">
        <v>823</v>
      </c>
      <c r="E16" s="106" t="s">
        <v>824</v>
      </c>
      <c r="F16" s="106" t="s">
        <v>825</v>
      </c>
      <c r="G16" s="106" t="s">
        <v>826</v>
      </c>
      <c r="H16" s="107" t="s">
        <v>827</v>
      </c>
      <c r="I16" s="108" t="s">
        <v>828</v>
      </c>
      <c r="J16" s="109" t="s">
        <v>829</v>
      </c>
      <c r="K16" s="109" t="s">
        <v>830</v>
      </c>
      <c r="L16" s="109" t="s">
        <v>831</v>
      </c>
      <c r="M16" s="108" t="str">
        <f>Table_Developer!B5</f>
        <v>정진우 수석</v>
      </c>
      <c r="N16" s="109" t="str">
        <f>Table_Developer!B6</f>
        <v>신유지 선임</v>
      </c>
      <c r="O16" s="109" t="str">
        <f>Table_Developer!B7</f>
        <v>김병준 선임</v>
      </c>
      <c r="P16" s="109" t="str">
        <f>Table_Developer!B9</f>
        <v>정민정 선임</v>
      </c>
      <c r="Q16" s="109" t="str">
        <f>Table_Developer!B10</f>
        <v/>
      </c>
      <c r="R16" s="109" t="str">
        <f>Table_Developer!B11</f>
        <v/>
      </c>
      <c r="S16" s="109" t="str">
        <f>Table_Developer!B12</f>
        <v/>
      </c>
      <c r="T16" s="109" t="str">
        <f>Table_Developer!B13</f>
        <v/>
      </c>
      <c r="U16" s="109" t="str">
        <f>Table_Developer!B14</f>
        <v/>
      </c>
      <c r="V16" s="110" t="str">
        <f>Table_Developer!B15</f>
        <v/>
      </c>
      <c r="W16" s="111" t="s">
        <v>647</v>
      </c>
      <c r="X16" s="109" t="s">
        <v>648</v>
      </c>
      <c r="Y16" s="112" t="s">
        <v>649</v>
      </c>
      <c r="Z16" s="111" t="s">
        <v>650</v>
      </c>
      <c r="AA16" s="109" t="s">
        <v>651</v>
      </c>
      <c r="AB16" s="112" t="s">
        <v>652</v>
      </c>
      <c r="AC16" s="113" t="s">
        <v>653</v>
      </c>
      <c r="AD16" s="114" t="s">
        <v>654</v>
      </c>
      <c r="AE16" s="192"/>
      <c r="AF16" s="115" cm="1">
        <f t="array" ref="AF16">INDEX(Table_CalendarWD[프로젝트일자],COLUMN()-31,1)</f>
        <v>45089</v>
      </c>
      <c r="AG16" s="116" cm="1">
        <f t="array" ref="AG16">INDEX(Table_CalendarWD[프로젝트일자],COLUMN()-31,1)</f>
        <v>45090</v>
      </c>
      <c r="AH16" s="116" cm="1">
        <f t="array" ref="AH16">INDEX(Table_CalendarWD[프로젝트일자],COLUMN()-31,1)</f>
        <v>45091</v>
      </c>
      <c r="AI16" s="116" cm="1">
        <f t="array" ref="AI16">INDEX(Table_CalendarWD[프로젝트일자],COLUMN()-31,1)</f>
        <v>45092</v>
      </c>
      <c r="AJ16" s="116" cm="1">
        <f t="array" ref="AJ16">INDEX(Table_CalendarWD[프로젝트일자],COLUMN()-31,1)</f>
        <v>45093</v>
      </c>
      <c r="AK16" s="116" cm="1">
        <f t="array" ref="AK16">INDEX(Table_CalendarWD[프로젝트일자],COLUMN()-31,1)</f>
        <v>45096</v>
      </c>
      <c r="AL16" s="116" cm="1">
        <f t="array" ref="AL16">INDEX(Table_CalendarWD[프로젝트일자],COLUMN()-31,1)</f>
        <v>45097</v>
      </c>
      <c r="AM16" s="116" cm="1">
        <f t="array" ref="AM16">INDEX(Table_CalendarWD[프로젝트일자],COLUMN()-31,1)</f>
        <v>45098</v>
      </c>
      <c r="AN16" s="116" cm="1">
        <f t="array" ref="AN16">INDEX(Table_CalendarWD[프로젝트일자],COLUMN()-31,1)</f>
        <v>45099</v>
      </c>
      <c r="AO16" s="116" cm="1">
        <f t="array" ref="AO16">INDEX(Table_CalendarWD[프로젝트일자],COLUMN()-31,1)</f>
        <v>45100</v>
      </c>
      <c r="AP16" s="116" cm="1">
        <f t="array" ref="AP16">INDEX(Table_CalendarWD[프로젝트일자],COLUMN()-31,1)</f>
        <v>45103</v>
      </c>
      <c r="AQ16" s="116" cm="1">
        <f t="array" ref="AQ16">INDEX(Table_CalendarWD[프로젝트일자],COLUMN()-31,1)</f>
        <v>45104</v>
      </c>
      <c r="AR16" s="116" cm="1">
        <f t="array" ref="AR16">INDEX(Table_CalendarWD[프로젝트일자],COLUMN()-31,1)</f>
        <v>45105</v>
      </c>
      <c r="AS16" s="116" cm="1">
        <f t="array" ref="AS16">INDEX(Table_CalendarWD[프로젝트일자],COLUMN()-31,1)</f>
        <v>45106</v>
      </c>
      <c r="AT16" s="116" cm="1">
        <f t="array" ref="AT16">INDEX(Table_CalendarWD[프로젝트일자],COLUMN()-31,1)</f>
        <v>45107</v>
      </c>
      <c r="AU16" s="116" cm="1">
        <f t="array" ref="AU16">INDEX(Table_CalendarWD[프로젝트일자],COLUMN()-31,1)</f>
        <v>45110</v>
      </c>
      <c r="AV16" s="116" cm="1">
        <f t="array" ref="AV16">INDEX(Table_CalendarWD[프로젝트일자],COLUMN()-31,1)</f>
        <v>45111</v>
      </c>
      <c r="AW16" s="116" cm="1">
        <f t="array" ref="AW16">INDEX(Table_CalendarWD[프로젝트일자],COLUMN()-31,1)</f>
        <v>45112</v>
      </c>
      <c r="AX16" s="116" cm="1">
        <f t="array" ref="AX16">INDEX(Table_CalendarWD[프로젝트일자],COLUMN()-31,1)</f>
        <v>45113</v>
      </c>
      <c r="AY16" s="116" cm="1">
        <f t="array" ref="AY16">INDEX(Table_CalendarWD[프로젝트일자],COLUMN()-31,1)</f>
        <v>45114</v>
      </c>
      <c r="AZ16" s="116" cm="1">
        <f t="array" ref="AZ16">INDEX(Table_CalendarWD[프로젝트일자],COLUMN()-31,1)</f>
        <v>45117</v>
      </c>
      <c r="BA16" s="116" cm="1">
        <f t="array" ref="BA16">INDEX(Table_CalendarWD[프로젝트일자],COLUMN()-31,1)</f>
        <v>45118</v>
      </c>
      <c r="BB16" s="116" cm="1">
        <f t="array" ref="BB16">INDEX(Table_CalendarWD[프로젝트일자],COLUMN()-31,1)</f>
        <v>45119</v>
      </c>
      <c r="BC16" s="116" cm="1">
        <f t="array" ref="BC16">INDEX(Table_CalendarWD[프로젝트일자],COLUMN()-31,1)</f>
        <v>45120</v>
      </c>
      <c r="BD16" s="116" cm="1">
        <f t="array" ref="BD16">INDEX(Table_CalendarWD[프로젝트일자],COLUMN()-31,1)</f>
        <v>45121</v>
      </c>
      <c r="BE16" s="116" cm="1">
        <f t="array" ref="BE16">INDEX(Table_CalendarWD[프로젝트일자],COLUMN()-31,1)</f>
        <v>45124</v>
      </c>
      <c r="BF16" s="116" cm="1">
        <f t="array" ref="BF16">INDEX(Table_CalendarWD[프로젝트일자],COLUMN()-31,1)</f>
        <v>45125</v>
      </c>
      <c r="BG16" s="116" cm="1">
        <f t="array" ref="BG16">INDEX(Table_CalendarWD[프로젝트일자],COLUMN()-31,1)</f>
        <v>45126</v>
      </c>
      <c r="BH16" s="116" cm="1">
        <f t="array" ref="BH16">INDEX(Table_CalendarWD[프로젝트일자],COLUMN()-31,1)</f>
        <v>45127</v>
      </c>
      <c r="BI16" s="116" cm="1">
        <f t="array" ref="BI16">INDEX(Table_CalendarWD[프로젝트일자],COLUMN()-31,1)</f>
        <v>45128</v>
      </c>
      <c r="BJ16" s="116" cm="1">
        <f t="array" ref="BJ16">INDEX(Table_CalendarWD[프로젝트일자],COLUMN()-31,1)</f>
        <v>45131</v>
      </c>
      <c r="BK16" s="116" cm="1">
        <f t="array" ref="BK16">INDEX(Table_CalendarWD[프로젝트일자],COLUMN()-31,1)</f>
        <v>45132</v>
      </c>
      <c r="BL16" s="116" cm="1">
        <f t="array" ref="BL16">INDEX(Table_CalendarWD[프로젝트일자],COLUMN()-31,1)</f>
        <v>45133</v>
      </c>
      <c r="BM16" s="116" cm="1">
        <f t="array" ref="BM16">INDEX(Table_CalendarWD[프로젝트일자],COLUMN()-31,1)</f>
        <v>45134</v>
      </c>
      <c r="BN16" s="116" cm="1">
        <f t="array" ref="BN16">INDEX(Table_CalendarWD[프로젝트일자],COLUMN()-31,1)</f>
        <v>45135</v>
      </c>
      <c r="BO16" s="116" cm="1">
        <f t="array" ref="BO16">INDEX(Table_CalendarWD[프로젝트일자],COLUMN()-31,1)</f>
        <v>45138</v>
      </c>
      <c r="BP16" s="116" cm="1">
        <f t="array" ref="BP16">INDEX(Table_CalendarWD[프로젝트일자],COLUMN()-31,1)</f>
        <v>45139</v>
      </c>
      <c r="BQ16" s="116" cm="1">
        <f t="array" ref="BQ16">INDEX(Table_CalendarWD[프로젝트일자],COLUMN()-31,1)</f>
        <v>45140</v>
      </c>
      <c r="BR16" s="116" cm="1">
        <f t="array" ref="BR16">INDEX(Table_CalendarWD[프로젝트일자],COLUMN()-31,1)</f>
        <v>45141</v>
      </c>
      <c r="BS16" s="116" cm="1">
        <f t="array" ref="BS16">INDEX(Table_CalendarWD[프로젝트일자],COLUMN()-31,1)</f>
        <v>45142</v>
      </c>
      <c r="BT16" s="116" cm="1">
        <f t="array" ref="BT16">INDEX(Table_CalendarWD[프로젝트일자],COLUMN()-31,1)</f>
        <v>45145</v>
      </c>
      <c r="BU16" s="116" cm="1">
        <f t="array" ref="BU16">INDEX(Table_CalendarWD[프로젝트일자],COLUMN()-31,1)</f>
        <v>45146</v>
      </c>
      <c r="BV16" s="116" cm="1">
        <f t="array" ref="BV16">INDEX(Table_CalendarWD[프로젝트일자],COLUMN()-31,1)</f>
        <v>45147</v>
      </c>
      <c r="BW16" s="116" cm="1">
        <f t="array" ref="BW16">INDEX(Table_CalendarWD[프로젝트일자],COLUMN()-31,1)</f>
        <v>45148</v>
      </c>
      <c r="BX16" s="116" cm="1">
        <f t="array" ref="BX16">INDEX(Table_CalendarWD[프로젝트일자],COLUMN()-31,1)</f>
        <v>45149</v>
      </c>
      <c r="BY16" s="116" cm="1">
        <f t="array" ref="BY16">INDEX(Table_CalendarWD[프로젝트일자],COLUMN()-31,1)</f>
        <v>45152</v>
      </c>
      <c r="BZ16" s="116" cm="1">
        <f t="array" ref="BZ16">INDEX(Table_CalendarWD[프로젝트일자],COLUMN()-31,1)</f>
        <v>45154</v>
      </c>
      <c r="CA16" s="116" cm="1">
        <f t="array" ref="CA16">INDEX(Table_CalendarWD[프로젝트일자],COLUMN()-31,1)</f>
        <v>45155</v>
      </c>
      <c r="CB16" s="116" cm="1">
        <f t="array" ref="CB16">INDEX(Table_CalendarWD[프로젝트일자],COLUMN()-31,1)</f>
        <v>45156</v>
      </c>
      <c r="CC16" s="116" cm="1">
        <f t="array" ref="CC16">INDEX(Table_CalendarWD[프로젝트일자],COLUMN()-31,1)</f>
        <v>45159</v>
      </c>
      <c r="CD16" s="116" cm="1">
        <f t="array" ref="CD16">INDEX(Table_CalendarWD[프로젝트일자],COLUMN()-31,1)</f>
        <v>45160</v>
      </c>
      <c r="CE16" s="116" cm="1">
        <f t="array" ref="CE16">INDEX(Table_CalendarWD[프로젝트일자],COLUMN()-31,1)</f>
        <v>45161</v>
      </c>
      <c r="CF16" s="116" cm="1">
        <f t="array" ref="CF16">INDEX(Table_CalendarWD[프로젝트일자],COLUMN()-31,1)</f>
        <v>45162</v>
      </c>
      <c r="CG16" s="116" cm="1">
        <f t="array" ref="CG16">INDEX(Table_CalendarWD[프로젝트일자],COLUMN()-31,1)</f>
        <v>45163</v>
      </c>
      <c r="CH16" s="116" cm="1">
        <f t="array" ref="CH16">INDEX(Table_CalendarWD[프로젝트일자],COLUMN()-31,1)</f>
        <v>45166</v>
      </c>
      <c r="CI16" s="116" cm="1">
        <f t="array" ref="CI16">INDEX(Table_CalendarWD[프로젝트일자],COLUMN()-31,1)</f>
        <v>45167</v>
      </c>
      <c r="CJ16" s="116" cm="1">
        <f t="array" ref="CJ16">INDEX(Table_CalendarWD[프로젝트일자],COLUMN()-31,1)</f>
        <v>45168</v>
      </c>
      <c r="CK16" s="116" cm="1">
        <f t="array" ref="CK16">INDEX(Table_CalendarWD[프로젝트일자],COLUMN()-31,1)</f>
        <v>45169</v>
      </c>
      <c r="CL16" s="116" cm="1">
        <f t="array" ref="CL16">INDEX(Table_CalendarWD[프로젝트일자],COLUMN()-31,1)</f>
        <v>45170</v>
      </c>
      <c r="CM16" s="116" cm="1">
        <f t="array" ref="CM16">INDEX(Table_CalendarWD[프로젝트일자],COLUMN()-31,1)</f>
        <v>45173</v>
      </c>
      <c r="CN16" s="116" cm="1">
        <f t="array" ref="CN16">INDEX(Table_CalendarWD[프로젝트일자],COLUMN()-31,1)</f>
        <v>45174</v>
      </c>
      <c r="CO16" s="116" cm="1">
        <f t="array" ref="CO16">INDEX(Table_CalendarWD[프로젝트일자],COLUMN()-31,1)</f>
        <v>45175</v>
      </c>
      <c r="CP16" s="116" cm="1">
        <f t="array" ref="CP16">INDEX(Table_CalendarWD[프로젝트일자],COLUMN()-31,1)</f>
        <v>45176</v>
      </c>
      <c r="CQ16" s="116" cm="1">
        <f t="array" ref="CQ16">INDEX(Table_CalendarWD[프로젝트일자],COLUMN()-31,1)</f>
        <v>45177</v>
      </c>
      <c r="CR16" s="116" cm="1">
        <f t="array" ref="CR16">INDEX(Table_CalendarWD[프로젝트일자],COLUMN()-31,1)</f>
        <v>45180</v>
      </c>
      <c r="CS16" s="116" cm="1">
        <f t="array" ref="CS16">INDEX(Table_CalendarWD[프로젝트일자],COLUMN()-31,1)</f>
        <v>45181</v>
      </c>
      <c r="CT16" s="116" cm="1">
        <f t="array" ref="CT16">INDEX(Table_CalendarWD[프로젝트일자],COLUMN()-31,1)</f>
        <v>45182</v>
      </c>
      <c r="CU16" s="116" cm="1">
        <f t="array" ref="CU16">INDEX(Table_CalendarWD[프로젝트일자],COLUMN()-31,1)</f>
        <v>45183</v>
      </c>
      <c r="CV16" s="116" cm="1">
        <f t="array" ref="CV16">INDEX(Table_CalendarWD[프로젝트일자],COLUMN()-31,1)</f>
        <v>45184</v>
      </c>
      <c r="CW16" s="116" cm="1">
        <f t="array" ref="CW16">INDEX(Table_CalendarWD[프로젝트일자],COLUMN()-31,1)</f>
        <v>45187</v>
      </c>
      <c r="CX16" s="116" cm="1">
        <f t="array" ref="CX16">INDEX(Table_CalendarWD[프로젝트일자],COLUMN()-31,1)</f>
        <v>45188</v>
      </c>
      <c r="CY16" s="116" cm="1">
        <f t="array" ref="CY16">INDEX(Table_CalendarWD[프로젝트일자],COLUMN()-31,1)</f>
        <v>45189</v>
      </c>
      <c r="CZ16" s="116" cm="1">
        <f t="array" ref="CZ16">INDEX(Table_CalendarWD[프로젝트일자],COLUMN()-31,1)</f>
        <v>45190</v>
      </c>
      <c r="DA16" s="116" cm="1">
        <f t="array" ref="DA16">INDEX(Table_CalendarWD[프로젝트일자],COLUMN()-31,1)</f>
        <v>45191</v>
      </c>
      <c r="DB16" s="116" cm="1">
        <f t="array" ref="DB16">INDEX(Table_CalendarWD[프로젝트일자],COLUMN()-31,1)</f>
        <v>45194</v>
      </c>
      <c r="DC16" s="116" cm="1">
        <f t="array" ref="DC16">INDEX(Table_CalendarWD[프로젝트일자],COLUMN()-31,1)</f>
        <v>45195</v>
      </c>
      <c r="DD16" s="116" cm="1">
        <f t="array" ref="DD16">INDEX(Table_CalendarWD[프로젝트일자],COLUMN()-31,1)</f>
        <v>45196</v>
      </c>
      <c r="DE16" s="116" cm="1">
        <f t="array" ref="DE16">INDEX(Table_CalendarWD[프로젝트일자],COLUMN()-31,1)</f>
        <v>45201</v>
      </c>
      <c r="DF16" s="116" cm="1">
        <f t="array" ref="DF16">INDEX(Table_CalendarWD[프로젝트일자],COLUMN()-31,1)</f>
        <v>45203</v>
      </c>
      <c r="DG16" s="116" cm="1">
        <f t="array" ref="DG16">INDEX(Table_CalendarWD[프로젝트일자],COLUMN()-31,1)</f>
        <v>45204</v>
      </c>
      <c r="DH16" s="116" cm="1">
        <f t="array" ref="DH16">INDEX(Table_CalendarWD[프로젝트일자],COLUMN()-31,1)</f>
        <v>45205</v>
      </c>
      <c r="DI16" s="116" cm="1">
        <f t="array" ref="DI16">INDEX(Table_CalendarWD[프로젝트일자],COLUMN()-31,1)</f>
        <v>45209</v>
      </c>
      <c r="DJ16" s="116" cm="1">
        <f t="array" ref="DJ16">INDEX(Table_CalendarWD[프로젝트일자],COLUMN()-31,1)</f>
        <v>45210</v>
      </c>
      <c r="DK16" s="116" cm="1">
        <f t="array" ref="DK16">INDEX(Table_CalendarWD[프로젝트일자],COLUMN()-31,1)</f>
        <v>45211</v>
      </c>
      <c r="DL16" s="116" cm="1">
        <f t="array" ref="DL16">INDEX(Table_CalendarWD[프로젝트일자],COLUMN()-31,1)</f>
        <v>45212</v>
      </c>
      <c r="DM16" s="116" cm="1">
        <f t="array" ref="DM16">INDEX(Table_CalendarWD[프로젝트일자],COLUMN()-31,1)</f>
        <v>45215</v>
      </c>
      <c r="DN16" s="116" cm="1">
        <f t="array" ref="DN16">INDEX(Table_CalendarWD[프로젝트일자],COLUMN()-31,1)</f>
        <v>45216</v>
      </c>
      <c r="DO16" s="116" cm="1">
        <f t="array" ref="DO16">INDEX(Table_CalendarWD[프로젝트일자],COLUMN()-31,1)</f>
        <v>45217</v>
      </c>
      <c r="DP16" s="116" cm="1">
        <f t="array" ref="DP16">INDEX(Table_CalendarWD[프로젝트일자],COLUMN()-31,1)</f>
        <v>45218</v>
      </c>
      <c r="DQ16" s="116" cm="1">
        <f t="array" ref="DQ16">INDEX(Table_CalendarWD[프로젝트일자],COLUMN()-31,1)</f>
        <v>45219</v>
      </c>
      <c r="DR16" s="116" cm="1">
        <f t="array" ref="DR16">INDEX(Table_CalendarWD[프로젝트일자],COLUMN()-31,1)</f>
        <v>45222</v>
      </c>
      <c r="DS16" s="116" cm="1">
        <f t="array" ref="DS16">INDEX(Table_CalendarWD[프로젝트일자],COLUMN()-31,1)</f>
        <v>45223</v>
      </c>
      <c r="DT16" s="116" cm="1">
        <f t="array" ref="DT16">INDEX(Table_CalendarWD[프로젝트일자],COLUMN()-31,1)</f>
        <v>45224</v>
      </c>
      <c r="DU16" s="116" cm="1">
        <f t="array" ref="DU16">INDEX(Table_CalendarWD[프로젝트일자],COLUMN()-31,1)</f>
        <v>45225</v>
      </c>
      <c r="DV16" s="116" cm="1">
        <f t="array" ref="DV16">INDEX(Table_CalendarWD[프로젝트일자],COLUMN()-31,1)</f>
        <v>45226</v>
      </c>
      <c r="DW16" s="116" cm="1">
        <f t="array" ref="DW16">INDEX(Table_CalendarWD[프로젝트일자],COLUMN()-31,1)</f>
        <v>45229</v>
      </c>
      <c r="DX16" s="116" cm="1">
        <f t="array" ref="DX16">INDEX(Table_CalendarWD[프로젝트일자],COLUMN()-31,1)</f>
        <v>45230</v>
      </c>
      <c r="DY16" s="116" cm="1">
        <f t="array" ref="DY16">INDEX(Table_CalendarWD[프로젝트일자],COLUMN()-31,1)</f>
        <v>45231</v>
      </c>
      <c r="DZ16" s="116" cm="1">
        <f t="array" ref="DZ16">INDEX(Table_CalendarWD[프로젝트일자],COLUMN()-31,1)</f>
        <v>45232</v>
      </c>
      <c r="EA16" s="116" cm="1">
        <f t="array" ref="EA16">INDEX(Table_CalendarWD[프로젝트일자],COLUMN()-31,1)</f>
        <v>45233</v>
      </c>
      <c r="EB16" s="116" cm="1">
        <f t="array" ref="EB16">INDEX(Table_CalendarWD[프로젝트일자],COLUMN()-31,1)</f>
        <v>45236</v>
      </c>
    </row>
    <row r="17" spans="2:132" ht="17.100000000000001" customHeight="1" thickTop="1">
      <c r="B17" s="83">
        <v>1</v>
      </c>
      <c r="C17" s="83" t="s">
        <v>655</v>
      </c>
      <c r="D17" s="137" t="s">
        <v>832</v>
      </c>
      <c r="E17" s="136"/>
      <c r="F17" s="136"/>
      <c r="G17" s="136"/>
      <c r="H17" s="84"/>
      <c r="I17" s="148" t="str">
        <f t="shared" ref="I17:V17" si="0">IF(COUNTIF(I18:I91,"●")&gt;0,"●","")</f>
        <v>●</v>
      </c>
      <c r="J17" s="147" t="str">
        <f t="shared" si="0"/>
        <v>●</v>
      </c>
      <c r="K17" s="147" t="str">
        <f t="shared" si="0"/>
        <v/>
      </c>
      <c r="L17" s="146" t="str">
        <f t="shared" si="0"/>
        <v/>
      </c>
      <c r="M17" s="148" t="str">
        <f t="shared" si="0"/>
        <v/>
      </c>
      <c r="N17" s="147" t="str">
        <f t="shared" si="0"/>
        <v>●</v>
      </c>
      <c r="O17" s="146" t="str">
        <f t="shared" si="0"/>
        <v>●</v>
      </c>
      <c r="P17" s="146" t="str">
        <f t="shared" si="0"/>
        <v/>
      </c>
      <c r="Q17" s="146" t="str">
        <f t="shared" si="0"/>
        <v/>
      </c>
      <c r="R17" s="146" t="str">
        <f t="shared" si="0"/>
        <v/>
      </c>
      <c r="S17" s="146" t="str">
        <f t="shared" si="0"/>
        <v/>
      </c>
      <c r="T17" s="146" t="str">
        <f t="shared" si="0"/>
        <v/>
      </c>
      <c r="U17" s="146" t="str">
        <f t="shared" si="0"/>
        <v/>
      </c>
      <c r="V17" s="146" t="str">
        <f t="shared" si="0"/>
        <v/>
      </c>
      <c r="W17" s="85">
        <f>IF(MIN(W18:W91)=0,"",MIN(W18:W91))</f>
        <v>45089</v>
      </c>
      <c r="X17" s="86">
        <f ca="1">IF(AND(W17="",Y17="")=TRUE,"",IF(AND(W17&gt;0,Y17="")=TRUE,NETWORKDAYS(W17,TODAY(),Holidays),NETWORKDAYS(W17,Y17,Holidays)))</f>
        <v>82</v>
      </c>
      <c r="Y17" s="87">
        <f>IF(MAX(Y18:Y91)=0,"",MAX(Y18:Y91))</f>
        <v>45209</v>
      </c>
      <c r="Z17" s="85">
        <f>IF(MIN(Z18:Z91)=0,"",MIN(Z18:Z91))</f>
        <v>45096</v>
      </c>
      <c r="AA17" s="86">
        <f t="shared" ref="AA17:AA23" ca="1" si="1">IF(AND(Z17="",AB17="")=TRUE,"",IF(AND(Z17&gt;0,AB17="")=TRUE,NETWORKDAYS(Z17,TODAY(),Holidays),NETWORKDAYS(Z17,AB17,Holidays)))</f>
        <v>15</v>
      </c>
      <c r="AB17" s="87">
        <f>IF(MAX(AB18:AB91)=0,"",MAX(AB18:AB91))</f>
        <v>45114</v>
      </c>
      <c r="AC17" s="88">
        <f>IFERROR(AVERAGE(AC18,AC55),"")</f>
        <v>0.18333333333333335</v>
      </c>
      <c r="AD17" s="89" t="str">
        <f t="shared" ref="AD17:AD23" si="2">IF(AC17=100%,"Completed",IF(AND(AC17&lt;100%,AC17&gt;0%)=TRUE,"In-Progress","Open"))</f>
        <v>In-Progress</v>
      </c>
      <c r="AE17" s="90"/>
      <c r="AF17" s="80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1"/>
      <c r="CF17" s="81"/>
      <c r="CG17" s="81"/>
      <c r="CH17" s="81"/>
      <c r="CI17" s="81"/>
      <c r="CJ17" s="81"/>
      <c r="CK17" s="81"/>
      <c r="CL17" s="81"/>
      <c r="CM17" s="81"/>
      <c r="CN17" s="81"/>
      <c r="CO17" s="81"/>
      <c r="CP17" s="81"/>
      <c r="CQ17" s="81"/>
      <c r="CR17" s="81"/>
      <c r="CS17" s="81"/>
      <c r="CT17" s="81"/>
      <c r="CU17" s="81"/>
      <c r="CV17" s="81"/>
      <c r="CW17" s="81"/>
      <c r="CX17" s="81"/>
      <c r="CY17" s="81"/>
      <c r="CZ17" s="81"/>
      <c r="DA17" s="81"/>
      <c r="DB17" s="81"/>
      <c r="DC17" s="81"/>
      <c r="DD17" s="81"/>
      <c r="DE17" s="81"/>
      <c r="DF17" s="81"/>
      <c r="DG17" s="81"/>
      <c r="DH17" s="81"/>
      <c r="DI17" s="81"/>
      <c r="DJ17" s="81"/>
      <c r="DK17" s="81"/>
      <c r="DL17" s="81"/>
      <c r="DM17" s="81"/>
      <c r="DN17" s="81"/>
      <c r="DO17" s="81"/>
      <c r="DP17" s="81"/>
      <c r="DQ17" s="81"/>
      <c r="DR17" s="81"/>
      <c r="DS17" s="81"/>
      <c r="DT17" s="81"/>
      <c r="DU17" s="81"/>
      <c r="DV17" s="81"/>
      <c r="DW17" s="81"/>
      <c r="DX17" s="81"/>
      <c r="DY17" s="81"/>
      <c r="DZ17" s="81"/>
      <c r="EA17" s="81"/>
      <c r="EB17" s="81"/>
    </row>
    <row r="18" spans="2:132" ht="17.100000000000001" customHeight="1">
      <c r="B18" s="92">
        <v>2</v>
      </c>
      <c r="C18" s="92" t="s">
        <v>655</v>
      </c>
      <c r="D18" s="93"/>
      <c r="E18" s="94" t="s">
        <v>833</v>
      </c>
      <c r="F18" s="94"/>
      <c r="G18" s="94"/>
      <c r="H18" s="95"/>
      <c r="I18" s="118" t="str">
        <f>IF(COUNTIF(I19:I54,"●")&gt;0,"●","")</f>
        <v>●</v>
      </c>
      <c r="J18" s="91" t="str">
        <f t="shared" ref="J18:L18" si="3">IF(COUNTIF(J19:J54,"●")&gt;0,"●","")</f>
        <v>●</v>
      </c>
      <c r="K18" s="91" t="str">
        <f t="shared" ref="K18" si="4">IF(COUNTIF(K19:K54,"●")&gt;0,"●","")</f>
        <v/>
      </c>
      <c r="L18" s="144" t="str">
        <f t="shared" si="3"/>
        <v/>
      </c>
      <c r="M18" s="118" t="str">
        <f>IF(COUNTIF(M19:M54,"●")&gt;0,"●","")</f>
        <v/>
      </c>
      <c r="N18" s="91" t="str">
        <f t="shared" ref="N18:V18" si="5">IF(COUNTIF(N19:N54,"●")&gt;0,"●","")</f>
        <v/>
      </c>
      <c r="O18" s="144" t="str">
        <f t="shared" si="5"/>
        <v>●</v>
      </c>
      <c r="P18" s="144" t="str">
        <f t="shared" si="5"/>
        <v/>
      </c>
      <c r="Q18" s="144" t="str">
        <f t="shared" si="5"/>
        <v/>
      </c>
      <c r="R18" s="144" t="str">
        <f t="shared" si="5"/>
        <v/>
      </c>
      <c r="S18" s="144" t="str">
        <f t="shared" si="5"/>
        <v/>
      </c>
      <c r="T18" s="144" t="str">
        <f t="shared" si="5"/>
        <v/>
      </c>
      <c r="U18" s="144" t="str">
        <f t="shared" si="5"/>
        <v/>
      </c>
      <c r="V18" s="144" t="str">
        <f t="shared" si="5"/>
        <v/>
      </c>
      <c r="W18" s="96">
        <f>IF(MIN(W19:W54)=0,"",MIN(W19:W54))</f>
        <v>45089</v>
      </c>
      <c r="X18" s="97">
        <f ca="1">IF(AND(W18="",Y18="")=TRUE,"",IF(AND(W18&gt;0,Y18="")=TRUE,NETWORKDAYS(W18,TODAY(),Holidays),NETWORKDAYS(W18,Y18,Holidays)))</f>
        <v>82</v>
      </c>
      <c r="Y18" s="139">
        <f>IF(MAX(Y19:Y54)=0,"",MAX(Y19:Y54))</f>
        <v>45209</v>
      </c>
      <c r="Z18" s="96">
        <f>IF(MIN(Z19:Z54)=0,"",MIN(Z19:Z54))</f>
        <v>45096</v>
      </c>
      <c r="AA18" s="97">
        <f t="shared" ca="1" si="1"/>
        <v>15</v>
      </c>
      <c r="AB18" s="98">
        <f>IF(MAX(AB19:AB54)=0,"",MAX(AB19:AB54))</f>
        <v>45114</v>
      </c>
      <c r="AC18" s="99">
        <f>IFERROR(AVERAGE(AC19,AC26,AC29,AC36,AC40,AC47,AC51),"")</f>
        <v>0.18809523809523809</v>
      </c>
      <c r="AD18" s="100" t="str">
        <f t="shared" si="2"/>
        <v>In-Progress</v>
      </c>
      <c r="AE18" s="101"/>
      <c r="AF18" s="80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1"/>
      <c r="CF18" s="81"/>
      <c r="CG18" s="81"/>
      <c r="CH18" s="81"/>
      <c r="CI18" s="81"/>
      <c r="CJ18" s="81"/>
      <c r="CK18" s="81"/>
      <c r="CL18" s="81"/>
      <c r="CM18" s="81"/>
      <c r="CN18" s="81"/>
      <c r="CO18" s="81"/>
      <c r="CP18" s="81"/>
      <c r="CQ18" s="81"/>
      <c r="CR18" s="81"/>
      <c r="CS18" s="81"/>
      <c r="CT18" s="81"/>
      <c r="CU18" s="81"/>
      <c r="CV18" s="81"/>
      <c r="CW18" s="81"/>
      <c r="CX18" s="81"/>
      <c r="CY18" s="81"/>
      <c r="CZ18" s="81"/>
      <c r="DA18" s="81"/>
      <c r="DB18" s="81"/>
      <c r="DC18" s="81"/>
      <c r="DD18" s="81"/>
      <c r="DE18" s="81"/>
      <c r="DF18" s="81"/>
      <c r="DG18" s="81"/>
      <c r="DH18" s="81"/>
      <c r="DI18" s="81"/>
      <c r="DJ18" s="81"/>
      <c r="DK18" s="81"/>
      <c r="DL18" s="81"/>
      <c r="DM18" s="81"/>
      <c r="DN18" s="81"/>
      <c r="DO18" s="81"/>
      <c r="DP18" s="81"/>
      <c r="DQ18" s="81"/>
      <c r="DR18" s="81"/>
      <c r="DS18" s="81"/>
      <c r="DT18" s="81"/>
      <c r="DU18" s="81"/>
      <c r="DV18" s="81"/>
      <c r="DW18" s="81"/>
      <c r="DX18" s="81"/>
      <c r="DY18" s="81"/>
      <c r="DZ18" s="81"/>
      <c r="EA18" s="81"/>
      <c r="EB18" s="81"/>
    </row>
    <row r="19" spans="2:132" ht="17.100000000000001" customHeight="1">
      <c r="B19" s="92">
        <v>3</v>
      </c>
      <c r="C19" s="92" t="s">
        <v>655</v>
      </c>
      <c r="D19" s="93"/>
      <c r="E19" s="94"/>
      <c r="F19" s="94" t="s">
        <v>834</v>
      </c>
      <c r="G19" s="94"/>
      <c r="H19" s="95"/>
      <c r="I19" s="118" t="str">
        <f>IF(COUNTIF(I20:I25,"●")&gt;0,"●","")</f>
        <v>●</v>
      </c>
      <c r="J19" s="91" t="str">
        <f t="shared" ref="J19:L19" si="6">IF(COUNTIF(J20:J25,"●")&gt;0,"●","")</f>
        <v/>
      </c>
      <c r="K19" s="91" t="str">
        <f t="shared" ref="K19" si="7">IF(COUNTIF(K20:K25,"●")&gt;0,"●","")</f>
        <v/>
      </c>
      <c r="L19" s="144" t="str">
        <f t="shared" si="6"/>
        <v/>
      </c>
      <c r="M19" s="118" t="str">
        <f>IF(COUNTIF(M20:M25,"●")&gt;0,"●","")</f>
        <v/>
      </c>
      <c r="N19" s="91" t="str">
        <f t="shared" ref="N19:V19" si="8">IF(COUNTIF(N20:N25,"●")&gt;0,"●","")</f>
        <v/>
      </c>
      <c r="O19" s="144" t="str">
        <f t="shared" si="8"/>
        <v>●</v>
      </c>
      <c r="P19" s="144" t="str">
        <f t="shared" si="8"/>
        <v/>
      </c>
      <c r="Q19" s="144" t="str">
        <f t="shared" si="8"/>
        <v/>
      </c>
      <c r="R19" s="144" t="str">
        <f t="shared" si="8"/>
        <v/>
      </c>
      <c r="S19" s="144" t="str">
        <f t="shared" si="8"/>
        <v/>
      </c>
      <c r="T19" s="144" t="str">
        <f t="shared" si="8"/>
        <v/>
      </c>
      <c r="U19" s="144" t="str">
        <f t="shared" si="8"/>
        <v/>
      </c>
      <c r="V19" s="144" t="str">
        <f t="shared" si="8"/>
        <v/>
      </c>
      <c r="W19" s="96">
        <f>IF(MIN(W20:W25)=0,"",MIN(W20:W25))</f>
        <v>45089</v>
      </c>
      <c r="X19" s="97">
        <f ca="1">IF(AND(W19="",Y19="")=TRUE,"",IF(AND(W19&gt;0,Y19="")=TRUE,NETWORKDAYS(W19,TODAY(),Holidays),NETWORKDAYS(W19,Y19,Holidays)))</f>
        <v>20</v>
      </c>
      <c r="Y19" s="138">
        <f>IF(MAX(Y20:Y25)=0,"",MAX(Y20:Y25))</f>
        <v>45114</v>
      </c>
      <c r="Z19" s="96">
        <f>IF(MIN(Z20:Z25)=0,"",MIN(Z20:Z25))</f>
        <v>45096</v>
      </c>
      <c r="AA19" s="97">
        <f t="shared" ref="AA19" ca="1" si="9">IF(AND(Z19="",AB19="")=TRUE,"",IF(AND(Z19&gt;0,AB19="")=TRUE,NETWORKDAYS(Z19,TODAY(),Holidays),NETWORKDAYS(Z19,AB19,Holidays)))</f>
        <v>15</v>
      </c>
      <c r="AB19" s="98">
        <f>IF(MAX(AB20:AB25)=0,"",MAX(AB20:AB25))</f>
        <v>45114</v>
      </c>
      <c r="AC19" s="99">
        <f>IFERROR(AVERAGE(AC20:AC25),"")</f>
        <v>1</v>
      </c>
      <c r="AD19" s="100" t="str">
        <f t="shared" ref="AD19" si="10">IF(AC19=100%,"Completed",IF(AND(AC19&lt;100%,AC19&gt;0%)=TRUE,"In-Progress","Open"))</f>
        <v>Completed</v>
      </c>
      <c r="AE19" s="101"/>
      <c r="AF19" s="80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/>
      <c r="CW19" s="81"/>
      <c r="CX19" s="81"/>
      <c r="CY19" s="81"/>
      <c r="CZ19" s="81"/>
      <c r="DA19" s="81"/>
      <c r="DB19" s="81"/>
      <c r="DC19" s="81"/>
      <c r="DD19" s="81"/>
      <c r="DE19" s="81"/>
      <c r="DF19" s="81"/>
      <c r="DG19" s="81"/>
      <c r="DH19" s="81"/>
      <c r="DI19" s="81"/>
      <c r="DJ19" s="81"/>
      <c r="DK19" s="81"/>
      <c r="DL19" s="81"/>
      <c r="DM19" s="81"/>
      <c r="DN19" s="81"/>
      <c r="DO19" s="81"/>
      <c r="DP19" s="81"/>
      <c r="DQ19" s="81"/>
      <c r="DR19" s="81"/>
      <c r="DS19" s="81"/>
      <c r="DT19" s="81"/>
      <c r="DU19" s="81"/>
      <c r="DV19" s="81"/>
      <c r="DW19" s="81"/>
      <c r="DX19" s="81"/>
      <c r="DY19" s="81"/>
      <c r="DZ19" s="81"/>
      <c r="EA19" s="81"/>
      <c r="EB19" s="81"/>
    </row>
    <row r="20" spans="2:132" ht="17.100000000000001" customHeight="1">
      <c r="B20" s="58">
        <v>4</v>
      </c>
      <c r="C20" s="58" t="s">
        <v>658</v>
      </c>
      <c r="D20" s="59"/>
      <c r="E20" s="60"/>
      <c r="F20" s="60"/>
      <c r="G20" s="60" t="s">
        <v>835</v>
      </c>
      <c r="H20" s="62"/>
      <c r="I20" s="145" t="s">
        <v>836</v>
      </c>
      <c r="J20" s="61"/>
      <c r="K20" s="61"/>
      <c r="L20" s="145"/>
      <c r="M20" s="123"/>
      <c r="N20" s="61"/>
      <c r="O20" s="145" t="s">
        <v>836</v>
      </c>
      <c r="P20" s="61"/>
      <c r="Q20" s="61"/>
      <c r="R20" s="61"/>
      <c r="S20" s="61"/>
      <c r="T20" s="61"/>
      <c r="U20" s="61"/>
      <c r="V20" s="63"/>
      <c r="W20" s="64">
        <v>45089</v>
      </c>
      <c r="X20" s="61">
        <v>5</v>
      </c>
      <c r="Y20" s="140">
        <f t="shared" ref="Y20:Y23" si="11">IF(AND(W20="",X20="")=TRUE,"",WORKDAY(W20,X20-1,Holidays))</f>
        <v>45093</v>
      </c>
      <c r="Z20" s="64">
        <v>45096</v>
      </c>
      <c r="AA20" s="126">
        <f t="shared" ca="1" si="1"/>
        <v>4</v>
      </c>
      <c r="AB20" s="65">
        <v>45099</v>
      </c>
      <c r="AC20" s="66">
        <v>1</v>
      </c>
      <c r="AD20" s="125" t="str">
        <f t="shared" si="2"/>
        <v>Completed</v>
      </c>
      <c r="AE20" s="150"/>
      <c r="AF20" s="80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1"/>
      <c r="CF20" s="81"/>
      <c r="CG20" s="81"/>
      <c r="CH20" s="81"/>
      <c r="CI20" s="81"/>
      <c r="CJ20" s="81"/>
      <c r="CK20" s="81"/>
      <c r="CL20" s="81"/>
      <c r="CM20" s="81"/>
      <c r="CN20" s="81"/>
      <c r="CO20" s="81"/>
      <c r="CP20" s="81"/>
      <c r="CQ20" s="81"/>
      <c r="CR20" s="81"/>
      <c r="CS20" s="81"/>
      <c r="CT20" s="81"/>
      <c r="CU20" s="81"/>
      <c r="CV20" s="81"/>
      <c r="CW20" s="81"/>
      <c r="CX20" s="81"/>
      <c r="CY20" s="81"/>
      <c r="CZ20" s="81"/>
      <c r="DA20" s="81"/>
      <c r="DB20" s="81"/>
      <c r="DC20" s="81"/>
      <c r="DD20" s="81"/>
      <c r="DE20" s="81"/>
      <c r="DF20" s="81"/>
      <c r="DG20" s="81"/>
      <c r="DH20" s="81"/>
      <c r="DI20" s="81"/>
      <c r="DJ20" s="81"/>
      <c r="DK20" s="81"/>
      <c r="DL20" s="81"/>
      <c r="DM20" s="81"/>
      <c r="DN20" s="81"/>
      <c r="DO20" s="81"/>
      <c r="DP20" s="81"/>
      <c r="DQ20" s="81"/>
      <c r="DR20" s="81"/>
      <c r="DS20" s="81"/>
      <c r="DT20" s="81"/>
      <c r="DU20" s="81"/>
      <c r="DV20" s="81"/>
      <c r="DW20" s="81"/>
      <c r="DX20" s="81"/>
      <c r="DY20" s="81"/>
      <c r="DZ20" s="81"/>
      <c r="EA20" s="81"/>
      <c r="EB20" s="81"/>
    </row>
    <row r="21" spans="2:132" ht="17.100000000000001" customHeight="1">
      <c r="B21" s="58">
        <v>4</v>
      </c>
      <c r="C21" s="58" t="s">
        <v>658</v>
      </c>
      <c r="D21" s="59"/>
      <c r="E21" s="60"/>
      <c r="F21" s="60"/>
      <c r="G21" s="60" t="s">
        <v>837</v>
      </c>
      <c r="H21" s="62"/>
      <c r="I21" s="145" t="s">
        <v>836</v>
      </c>
      <c r="J21" s="61"/>
      <c r="K21" s="61"/>
      <c r="L21" s="145"/>
      <c r="M21" s="123"/>
      <c r="N21" s="61"/>
      <c r="O21" s="145" t="s">
        <v>836</v>
      </c>
      <c r="P21" s="61"/>
      <c r="Q21" s="61"/>
      <c r="R21" s="61"/>
      <c r="S21" s="61"/>
      <c r="T21" s="61"/>
      <c r="U21" s="61"/>
      <c r="V21" s="63"/>
      <c r="W21" s="64">
        <v>45096</v>
      </c>
      <c r="X21" s="61">
        <v>5</v>
      </c>
      <c r="Y21" s="140">
        <f t="shared" si="11"/>
        <v>45100</v>
      </c>
      <c r="Z21" s="64">
        <v>45105</v>
      </c>
      <c r="AA21" s="126">
        <f t="shared" ca="1" si="1"/>
        <v>8</v>
      </c>
      <c r="AB21" s="65">
        <v>45114</v>
      </c>
      <c r="AC21" s="66">
        <v>1</v>
      </c>
      <c r="AD21" s="125" t="str">
        <f t="shared" si="2"/>
        <v>Completed</v>
      </c>
      <c r="AE21" s="150"/>
      <c r="AF21" s="80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81"/>
      <c r="CF21" s="81"/>
      <c r="CG21" s="81"/>
      <c r="CH21" s="81"/>
      <c r="CI21" s="81"/>
      <c r="CJ21" s="81"/>
      <c r="CK21" s="81"/>
      <c r="CL21" s="81"/>
      <c r="CM21" s="81"/>
      <c r="CN21" s="81"/>
      <c r="CO21" s="81"/>
      <c r="CP21" s="81"/>
      <c r="CQ21" s="81"/>
      <c r="CR21" s="81"/>
      <c r="CS21" s="81"/>
      <c r="CT21" s="81"/>
      <c r="CU21" s="81"/>
      <c r="CV21" s="81"/>
      <c r="CW21" s="81"/>
      <c r="CX21" s="81"/>
      <c r="CY21" s="81"/>
      <c r="CZ21" s="81"/>
      <c r="DA21" s="81"/>
      <c r="DB21" s="81"/>
      <c r="DC21" s="81"/>
      <c r="DD21" s="81"/>
      <c r="DE21" s="81"/>
      <c r="DF21" s="81"/>
      <c r="DG21" s="81"/>
      <c r="DH21" s="81"/>
      <c r="DI21" s="81"/>
      <c r="DJ21" s="81"/>
      <c r="DK21" s="81"/>
      <c r="DL21" s="81"/>
      <c r="DM21" s="81"/>
      <c r="DN21" s="81"/>
      <c r="DO21" s="81"/>
      <c r="DP21" s="81"/>
      <c r="DQ21" s="81"/>
      <c r="DR21" s="81"/>
      <c r="DS21" s="81"/>
      <c r="DT21" s="81"/>
      <c r="DU21" s="81"/>
      <c r="DV21" s="81"/>
      <c r="DW21" s="81"/>
      <c r="DX21" s="81"/>
      <c r="DY21" s="81"/>
      <c r="DZ21" s="81"/>
      <c r="EA21" s="81"/>
      <c r="EB21" s="81"/>
    </row>
    <row r="22" spans="2:132" ht="17.100000000000001" customHeight="1">
      <c r="B22" s="58">
        <v>4</v>
      </c>
      <c r="C22" s="58" t="s">
        <v>658</v>
      </c>
      <c r="D22" s="59"/>
      <c r="E22" s="60"/>
      <c r="F22" s="60"/>
      <c r="G22" s="60" t="s">
        <v>838</v>
      </c>
      <c r="H22" s="62"/>
      <c r="I22" s="145" t="s">
        <v>836</v>
      </c>
      <c r="J22" s="61"/>
      <c r="K22" s="61"/>
      <c r="L22" s="145"/>
      <c r="M22" s="123"/>
      <c r="N22" s="61"/>
      <c r="O22" s="145" t="s">
        <v>836</v>
      </c>
      <c r="P22" s="61"/>
      <c r="Q22" s="61"/>
      <c r="R22" s="61"/>
      <c r="S22" s="61"/>
      <c r="T22" s="61"/>
      <c r="U22" s="61"/>
      <c r="V22" s="63"/>
      <c r="W22" s="64">
        <v>45103</v>
      </c>
      <c r="X22" s="61">
        <v>3</v>
      </c>
      <c r="Y22" s="140">
        <f t="shared" si="11"/>
        <v>45105</v>
      </c>
      <c r="Z22" s="64">
        <v>45103</v>
      </c>
      <c r="AA22" s="126">
        <f t="shared" ca="1" si="1"/>
        <v>3</v>
      </c>
      <c r="AB22" s="65">
        <v>45105</v>
      </c>
      <c r="AC22" s="66">
        <v>1</v>
      </c>
      <c r="AD22" s="125" t="str">
        <f t="shared" si="2"/>
        <v>Completed</v>
      </c>
      <c r="AE22" s="150"/>
      <c r="AF22" s="80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1"/>
      <c r="CF22" s="81"/>
      <c r="CG22" s="81"/>
      <c r="CH22" s="81"/>
      <c r="CI22" s="81"/>
      <c r="CJ22" s="81"/>
      <c r="CK22" s="81"/>
      <c r="CL22" s="81"/>
      <c r="CM22" s="81"/>
      <c r="CN22" s="81"/>
      <c r="CO22" s="81"/>
      <c r="CP22" s="81"/>
      <c r="CQ22" s="81"/>
      <c r="CR22" s="81"/>
      <c r="CS22" s="81"/>
      <c r="CT22" s="81"/>
      <c r="CU22" s="81"/>
      <c r="CV22" s="81"/>
      <c r="CW22" s="81"/>
      <c r="CX22" s="81"/>
      <c r="CY22" s="81"/>
      <c r="CZ22" s="81"/>
      <c r="DA22" s="81"/>
      <c r="DB22" s="81"/>
      <c r="DC22" s="81"/>
      <c r="DD22" s="81"/>
      <c r="DE22" s="81"/>
      <c r="DF22" s="81"/>
      <c r="DG22" s="81"/>
      <c r="DH22" s="81"/>
      <c r="DI22" s="81"/>
      <c r="DJ22" s="81"/>
      <c r="DK22" s="81"/>
      <c r="DL22" s="81"/>
      <c r="DM22" s="81"/>
      <c r="DN22" s="81"/>
      <c r="DO22" s="81"/>
      <c r="DP22" s="81"/>
      <c r="DQ22" s="81"/>
      <c r="DR22" s="81"/>
      <c r="DS22" s="81"/>
      <c r="DT22" s="81"/>
      <c r="DU22" s="81"/>
      <c r="DV22" s="81"/>
      <c r="DW22" s="81"/>
      <c r="DX22" s="81"/>
      <c r="DY22" s="81"/>
      <c r="DZ22" s="81"/>
      <c r="EA22" s="81"/>
      <c r="EB22" s="81"/>
    </row>
    <row r="23" spans="2:132" ht="17.100000000000001" customHeight="1">
      <c r="B23" s="58">
        <v>4</v>
      </c>
      <c r="C23" s="58" t="s">
        <v>658</v>
      </c>
      <c r="D23" s="59"/>
      <c r="E23" s="60"/>
      <c r="F23" s="60"/>
      <c r="G23" s="60" t="s">
        <v>839</v>
      </c>
      <c r="H23" s="62"/>
      <c r="I23" s="145" t="s">
        <v>836</v>
      </c>
      <c r="J23" s="61"/>
      <c r="K23" s="61"/>
      <c r="L23" s="145"/>
      <c r="M23" s="123"/>
      <c r="N23" s="61"/>
      <c r="O23" s="145" t="s">
        <v>836</v>
      </c>
      <c r="P23" s="61"/>
      <c r="Q23" s="61"/>
      <c r="R23" s="61"/>
      <c r="S23" s="61"/>
      <c r="T23" s="61"/>
      <c r="U23" s="61"/>
      <c r="V23" s="63"/>
      <c r="W23" s="64">
        <v>45106</v>
      </c>
      <c r="X23" s="61">
        <v>3</v>
      </c>
      <c r="Y23" s="140">
        <f t="shared" si="11"/>
        <v>45110</v>
      </c>
      <c r="Z23" s="64">
        <v>45099</v>
      </c>
      <c r="AA23" s="126">
        <f t="shared" ca="1" si="1"/>
        <v>2</v>
      </c>
      <c r="AB23" s="65">
        <v>45100</v>
      </c>
      <c r="AC23" s="66">
        <v>1</v>
      </c>
      <c r="AD23" s="125" t="str">
        <f t="shared" si="2"/>
        <v>Completed</v>
      </c>
      <c r="AE23" s="150"/>
      <c r="AF23" s="80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1"/>
      <c r="CF23" s="81"/>
      <c r="CG23" s="81"/>
      <c r="CH23" s="81"/>
      <c r="CI23" s="81"/>
      <c r="CJ23" s="81"/>
      <c r="CK23" s="81"/>
      <c r="CL23" s="81"/>
      <c r="CM23" s="81"/>
      <c r="CN23" s="81"/>
      <c r="CO23" s="81"/>
      <c r="CP23" s="81"/>
      <c r="CQ23" s="81"/>
      <c r="CR23" s="81"/>
      <c r="CS23" s="81"/>
      <c r="CT23" s="81"/>
      <c r="CU23" s="81"/>
      <c r="CV23" s="81"/>
      <c r="CW23" s="81"/>
      <c r="CX23" s="81"/>
      <c r="CY23" s="81"/>
      <c r="CZ23" s="81"/>
      <c r="DA23" s="81"/>
      <c r="DB23" s="81"/>
      <c r="DC23" s="81"/>
      <c r="DD23" s="81"/>
      <c r="DE23" s="81"/>
      <c r="DF23" s="81"/>
      <c r="DG23" s="81"/>
      <c r="DH23" s="81"/>
      <c r="DI23" s="81"/>
      <c r="DJ23" s="81"/>
      <c r="DK23" s="81"/>
      <c r="DL23" s="81"/>
      <c r="DM23" s="81"/>
      <c r="DN23" s="81"/>
      <c r="DO23" s="81"/>
      <c r="DP23" s="81"/>
      <c r="DQ23" s="81"/>
      <c r="DR23" s="81"/>
      <c r="DS23" s="81"/>
      <c r="DT23" s="81"/>
      <c r="DU23" s="81"/>
      <c r="DV23" s="81"/>
      <c r="DW23" s="81"/>
      <c r="DX23" s="81"/>
      <c r="DY23" s="81"/>
      <c r="DZ23" s="81"/>
      <c r="EA23" s="81"/>
      <c r="EB23" s="81"/>
    </row>
    <row r="24" spans="2:132" ht="17.100000000000001" customHeight="1">
      <c r="B24" s="58">
        <v>4</v>
      </c>
      <c r="C24" s="58" t="s">
        <v>658</v>
      </c>
      <c r="D24" s="59"/>
      <c r="E24" s="60"/>
      <c r="F24" s="60"/>
      <c r="G24" s="60" t="s">
        <v>840</v>
      </c>
      <c r="H24" s="62"/>
      <c r="I24" s="145" t="s">
        <v>836</v>
      </c>
      <c r="J24" s="61"/>
      <c r="K24" s="61"/>
      <c r="L24" s="145"/>
      <c r="M24" s="123"/>
      <c r="N24" s="61"/>
      <c r="O24" s="145" t="s">
        <v>836</v>
      </c>
      <c r="P24" s="61"/>
      <c r="Q24" s="61"/>
      <c r="R24" s="61"/>
      <c r="S24" s="61"/>
      <c r="T24" s="61"/>
      <c r="U24" s="61"/>
      <c r="V24" s="63"/>
      <c r="W24" s="64">
        <v>45111</v>
      </c>
      <c r="X24" s="61">
        <v>3</v>
      </c>
      <c r="Y24" s="140">
        <f t="shared" ref="Y24:Y25" si="12">IF(AND(W24="",X24="")=TRUE,"",WORKDAY(W24,X24-1,Holidays))</f>
        <v>45113</v>
      </c>
      <c r="Z24" s="64">
        <v>45113</v>
      </c>
      <c r="AA24" s="126">
        <f t="shared" ref="AA24:AA33" ca="1" si="13">IF(AND(Z24="",AB24="")=TRUE,"",IF(AND(Z24&gt;0,AB24="")=TRUE,NETWORKDAYS(Z24,TODAY(),Holidays),NETWORKDAYS(Z24,AB24,Holidays)))</f>
        <v>2</v>
      </c>
      <c r="AB24" s="65">
        <v>45114</v>
      </c>
      <c r="AC24" s="66">
        <v>1</v>
      </c>
      <c r="AD24" s="125" t="str">
        <f t="shared" ref="AD24:AD33" si="14">IF(AC24=100%,"Completed",IF(AND(AC24&lt;100%,AC24&gt;0%)=TRUE,"In-Progress","Open"))</f>
        <v>Completed</v>
      </c>
      <c r="AE24" s="150"/>
      <c r="AF24" s="80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1"/>
      <c r="CG24" s="81"/>
      <c r="CH24" s="81"/>
      <c r="CI24" s="81"/>
      <c r="CJ24" s="81"/>
      <c r="CK24" s="81"/>
      <c r="CL24" s="81"/>
      <c r="CM24" s="81"/>
      <c r="CN24" s="81"/>
      <c r="CO24" s="81"/>
      <c r="CP24" s="81"/>
      <c r="CQ24" s="81"/>
      <c r="CR24" s="81"/>
      <c r="CS24" s="81"/>
      <c r="CT24" s="81"/>
      <c r="CU24" s="81"/>
      <c r="CV24" s="81"/>
      <c r="CW24" s="81"/>
      <c r="CX24" s="81"/>
      <c r="CY24" s="81"/>
      <c r="CZ24" s="81"/>
      <c r="DA24" s="81"/>
      <c r="DB24" s="81"/>
      <c r="DC24" s="81"/>
      <c r="DD24" s="81"/>
      <c r="DE24" s="81"/>
      <c r="DF24" s="81"/>
      <c r="DG24" s="81"/>
      <c r="DH24" s="81"/>
      <c r="DI24" s="81"/>
      <c r="DJ24" s="81"/>
      <c r="DK24" s="81"/>
      <c r="DL24" s="81"/>
      <c r="DM24" s="81"/>
      <c r="DN24" s="81"/>
      <c r="DO24" s="81"/>
      <c r="DP24" s="81"/>
      <c r="DQ24" s="81"/>
      <c r="DR24" s="81"/>
      <c r="DS24" s="81"/>
      <c r="DT24" s="81"/>
      <c r="DU24" s="81"/>
      <c r="DV24" s="81"/>
      <c r="DW24" s="81"/>
      <c r="DX24" s="81"/>
      <c r="DY24" s="81"/>
      <c r="DZ24" s="81"/>
      <c r="EA24" s="81"/>
      <c r="EB24" s="81"/>
    </row>
    <row r="25" spans="2:132" ht="17.100000000000001" customHeight="1">
      <c r="B25" s="58">
        <v>4</v>
      </c>
      <c r="C25" s="58" t="s">
        <v>658</v>
      </c>
      <c r="D25" s="59"/>
      <c r="E25" s="60"/>
      <c r="F25" s="60"/>
      <c r="G25" s="60" t="s">
        <v>841</v>
      </c>
      <c r="H25" s="62"/>
      <c r="I25" s="145" t="s">
        <v>836</v>
      </c>
      <c r="J25" s="61"/>
      <c r="K25" s="61"/>
      <c r="L25" s="145"/>
      <c r="M25" s="123"/>
      <c r="N25" s="61"/>
      <c r="O25" s="145" t="s">
        <v>836</v>
      </c>
      <c r="P25" s="61"/>
      <c r="Q25" s="61"/>
      <c r="R25" s="61"/>
      <c r="S25" s="61"/>
      <c r="T25" s="61"/>
      <c r="U25" s="61"/>
      <c r="V25" s="63"/>
      <c r="W25" s="64">
        <v>45114</v>
      </c>
      <c r="X25" s="61">
        <v>1</v>
      </c>
      <c r="Y25" s="140">
        <f t="shared" si="12"/>
        <v>45114</v>
      </c>
      <c r="Z25" s="64">
        <v>45114</v>
      </c>
      <c r="AA25" s="126">
        <f t="shared" ca="1" si="13"/>
        <v>1</v>
      </c>
      <c r="AB25" s="65">
        <v>45114</v>
      </c>
      <c r="AC25" s="66">
        <v>1</v>
      </c>
      <c r="AD25" s="125" t="str">
        <f t="shared" si="14"/>
        <v>Completed</v>
      </c>
      <c r="AE25" s="150"/>
      <c r="AF25" s="80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1"/>
      <c r="CG25" s="81"/>
      <c r="CH25" s="81"/>
      <c r="CI25" s="81"/>
      <c r="CJ25" s="81"/>
      <c r="CK25" s="81"/>
      <c r="CL25" s="81"/>
      <c r="CM25" s="81"/>
      <c r="CN25" s="81"/>
      <c r="CO25" s="81"/>
      <c r="CP25" s="81"/>
      <c r="CQ25" s="81"/>
      <c r="CR25" s="81"/>
      <c r="CS25" s="81"/>
      <c r="CT25" s="81"/>
      <c r="CU25" s="81"/>
      <c r="CV25" s="81"/>
      <c r="CW25" s="81"/>
      <c r="CX25" s="81"/>
      <c r="CY25" s="81"/>
      <c r="CZ25" s="81"/>
      <c r="DA25" s="81"/>
      <c r="DB25" s="81"/>
      <c r="DC25" s="81"/>
      <c r="DD25" s="81"/>
      <c r="DE25" s="81"/>
      <c r="DF25" s="81"/>
      <c r="DG25" s="81"/>
      <c r="DH25" s="81"/>
      <c r="DI25" s="81"/>
      <c r="DJ25" s="81"/>
      <c r="DK25" s="81"/>
      <c r="DL25" s="81"/>
      <c r="DM25" s="81"/>
      <c r="DN25" s="81"/>
      <c r="DO25" s="81"/>
      <c r="DP25" s="81"/>
      <c r="DQ25" s="81"/>
      <c r="DR25" s="81"/>
      <c r="DS25" s="81"/>
      <c r="DT25" s="81"/>
      <c r="DU25" s="81"/>
      <c r="DV25" s="81"/>
      <c r="DW25" s="81"/>
      <c r="DX25" s="81"/>
      <c r="DY25" s="81"/>
      <c r="DZ25" s="81"/>
      <c r="EA25" s="81"/>
      <c r="EB25" s="81"/>
    </row>
    <row r="26" spans="2:132" ht="17.100000000000001" customHeight="1">
      <c r="B26" s="92">
        <v>3</v>
      </c>
      <c r="C26" s="92" t="s">
        <v>655</v>
      </c>
      <c r="D26" s="93"/>
      <c r="E26" s="94"/>
      <c r="F26" s="94" t="s">
        <v>842</v>
      </c>
      <c r="G26" s="94"/>
      <c r="H26" s="95"/>
      <c r="I26" s="118" t="str">
        <f>IF(COUNTIF(I27:I28,"●")&gt;0,"●","")</f>
        <v>●</v>
      </c>
      <c r="J26" s="91" t="str">
        <f t="shared" ref="J26:L26" si="15">IF(COUNTIF(J27:J28,"●")&gt;0,"●","")</f>
        <v/>
      </c>
      <c r="K26" s="91" t="str">
        <f t="shared" ref="K26" si="16">IF(COUNTIF(K27:K28,"●")&gt;0,"●","")</f>
        <v/>
      </c>
      <c r="L26" s="144" t="str">
        <f t="shared" si="15"/>
        <v/>
      </c>
      <c r="M26" s="118" t="str">
        <f>IF(COUNTIF(M27:M28,"●")&gt;0,"●","")</f>
        <v/>
      </c>
      <c r="N26" s="91" t="str">
        <f t="shared" ref="N26:V26" si="17">IF(COUNTIF(N27:N28,"●")&gt;0,"●","")</f>
        <v/>
      </c>
      <c r="O26" s="144" t="str">
        <f t="shared" si="17"/>
        <v>●</v>
      </c>
      <c r="P26" s="144" t="str">
        <f t="shared" si="17"/>
        <v/>
      </c>
      <c r="Q26" s="144" t="str">
        <f t="shared" si="17"/>
        <v/>
      </c>
      <c r="R26" s="144" t="str">
        <f t="shared" si="17"/>
        <v/>
      </c>
      <c r="S26" s="144" t="str">
        <f t="shared" si="17"/>
        <v/>
      </c>
      <c r="T26" s="144" t="str">
        <f t="shared" si="17"/>
        <v/>
      </c>
      <c r="U26" s="144" t="str">
        <f t="shared" si="17"/>
        <v/>
      </c>
      <c r="V26" s="144" t="str">
        <f t="shared" si="17"/>
        <v/>
      </c>
      <c r="W26" s="96">
        <f>IF(MIN(W27:W28)=0,"",MIN(W27:W28))</f>
        <v>45117</v>
      </c>
      <c r="X26" s="97">
        <f ca="1">IF(AND(W26="",Y26="")=TRUE,"",IF(AND(W26&gt;0,Y26="")=TRUE,NETWORKDAYS(W26,TODAY(),Holidays),NETWORKDAYS(W26,Y26,Holidays)))</f>
        <v>8</v>
      </c>
      <c r="Y26" s="138">
        <f>IF(MAX(Y27:Y28)=0,"",MAX(Y27:Y28))</f>
        <v>45126</v>
      </c>
      <c r="Z26" s="96">
        <f>IF(MIN(Z27:Z28)=0,"",MIN(Z27:Z28))</f>
        <v>45117</v>
      </c>
      <c r="AA26" s="97">
        <f t="shared" ref="AA26:AA28" ca="1" si="18">IF(AND(Z26="",AB26="")=TRUE,"",IF(AND(Z26&gt;0,AB26="")=TRUE,NETWORKDAYS(Z26,TODAY(),Holidays),NETWORKDAYS(Z26,AB26,Holidays)))</f>
        <v>232</v>
      </c>
      <c r="AB26" s="98" t="str">
        <f>IF(MAX(AB27:AB28)=0,"",MAX(AB27:AB28))</f>
        <v/>
      </c>
      <c r="AC26" s="99">
        <f>IFERROR(AVERAGE(AC27:AC28),"")</f>
        <v>0.2</v>
      </c>
      <c r="AD26" s="100" t="str">
        <f t="shared" ref="AD26:AD28" si="19">IF(AC26=100%,"Completed",IF(AND(AC26&lt;100%,AC26&gt;0%)=TRUE,"In-Progress","Open"))</f>
        <v>In-Progress</v>
      </c>
      <c r="AE26" s="101"/>
      <c r="AF26" s="80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1"/>
      <c r="CG26" s="81"/>
      <c r="CH26" s="81"/>
      <c r="CI26" s="81"/>
      <c r="CJ26" s="81"/>
      <c r="CK26" s="81"/>
      <c r="CL26" s="81"/>
      <c r="CM26" s="81"/>
      <c r="CN26" s="81"/>
      <c r="CO26" s="81"/>
      <c r="CP26" s="81"/>
      <c r="CQ26" s="81"/>
      <c r="CR26" s="81"/>
      <c r="CS26" s="81"/>
      <c r="CT26" s="81"/>
      <c r="CU26" s="81"/>
      <c r="CV26" s="81"/>
      <c r="CW26" s="81"/>
      <c r="CX26" s="81"/>
      <c r="CY26" s="81"/>
      <c r="CZ26" s="81"/>
      <c r="DA26" s="81"/>
      <c r="DB26" s="81"/>
      <c r="DC26" s="81"/>
      <c r="DD26" s="81"/>
      <c r="DE26" s="81"/>
      <c r="DF26" s="81"/>
      <c r="DG26" s="81"/>
      <c r="DH26" s="81"/>
      <c r="DI26" s="81"/>
      <c r="DJ26" s="81"/>
      <c r="DK26" s="81"/>
      <c r="DL26" s="81"/>
      <c r="DM26" s="81"/>
      <c r="DN26" s="81"/>
      <c r="DO26" s="81"/>
      <c r="DP26" s="81"/>
      <c r="DQ26" s="81"/>
      <c r="DR26" s="81"/>
      <c r="DS26" s="81"/>
      <c r="DT26" s="81"/>
      <c r="DU26" s="81"/>
      <c r="DV26" s="81"/>
      <c r="DW26" s="81"/>
      <c r="DX26" s="81"/>
      <c r="DY26" s="81"/>
      <c r="DZ26" s="81"/>
      <c r="EA26" s="81"/>
      <c r="EB26" s="81"/>
    </row>
    <row r="27" spans="2:132" ht="17.100000000000001" customHeight="1">
      <c r="B27" s="58">
        <v>4</v>
      </c>
      <c r="C27" s="58" t="s">
        <v>658</v>
      </c>
      <c r="D27" s="59"/>
      <c r="E27" s="60"/>
      <c r="F27" s="60"/>
      <c r="G27" s="60" t="s">
        <v>843</v>
      </c>
      <c r="H27" s="62"/>
      <c r="I27" s="145" t="s">
        <v>836</v>
      </c>
      <c r="J27" s="61"/>
      <c r="K27" s="61"/>
      <c r="L27" s="145"/>
      <c r="M27" s="123"/>
      <c r="N27" s="61"/>
      <c r="O27" s="145" t="s">
        <v>836</v>
      </c>
      <c r="P27" s="61"/>
      <c r="Q27" s="61"/>
      <c r="R27" s="61"/>
      <c r="S27" s="61"/>
      <c r="T27" s="61"/>
      <c r="U27" s="61"/>
      <c r="V27" s="63"/>
      <c r="W27" s="64">
        <v>45117</v>
      </c>
      <c r="X27" s="61">
        <v>5</v>
      </c>
      <c r="Y27" s="140">
        <f t="shared" ref="Y27:Y28" si="20">IF(AND(W27="",X27="")=TRUE,"",WORKDAY(W27,X27-1,Holidays))</f>
        <v>45121</v>
      </c>
      <c r="Z27" s="64">
        <v>45117</v>
      </c>
      <c r="AA27" s="126">
        <f t="shared" ca="1" si="18"/>
        <v>232</v>
      </c>
      <c r="AB27" s="65"/>
      <c r="AC27" s="66">
        <v>0.2</v>
      </c>
      <c r="AD27" s="125" t="str">
        <f t="shared" si="19"/>
        <v>In-Progress</v>
      </c>
      <c r="AE27" s="150"/>
      <c r="AF27" s="80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1"/>
      <c r="CG27" s="81"/>
      <c r="CH27" s="81"/>
      <c r="CI27" s="81"/>
      <c r="CJ27" s="81"/>
      <c r="CK27" s="81"/>
      <c r="CL27" s="81"/>
      <c r="CM27" s="81"/>
      <c r="CN27" s="81"/>
      <c r="CO27" s="81"/>
      <c r="CP27" s="81"/>
      <c r="CQ27" s="81"/>
      <c r="CR27" s="81"/>
      <c r="CS27" s="81"/>
      <c r="CT27" s="81"/>
      <c r="CU27" s="81"/>
      <c r="CV27" s="81"/>
      <c r="CW27" s="81"/>
      <c r="CX27" s="81"/>
      <c r="CY27" s="81"/>
      <c r="CZ27" s="81"/>
      <c r="DA27" s="81"/>
      <c r="DB27" s="81"/>
      <c r="DC27" s="81"/>
      <c r="DD27" s="81"/>
      <c r="DE27" s="81"/>
      <c r="DF27" s="81"/>
      <c r="DG27" s="81"/>
      <c r="DH27" s="81"/>
      <c r="DI27" s="81"/>
      <c r="DJ27" s="81"/>
      <c r="DK27" s="81"/>
      <c r="DL27" s="81"/>
      <c r="DM27" s="81"/>
      <c r="DN27" s="81"/>
      <c r="DO27" s="81"/>
      <c r="DP27" s="81"/>
      <c r="DQ27" s="81"/>
      <c r="DR27" s="81"/>
      <c r="DS27" s="81"/>
      <c r="DT27" s="81"/>
      <c r="DU27" s="81"/>
      <c r="DV27" s="81"/>
      <c r="DW27" s="81"/>
      <c r="DX27" s="81"/>
      <c r="DY27" s="81"/>
      <c r="DZ27" s="81"/>
      <c r="EA27" s="81"/>
      <c r="EB27" s="81"/>
    </row>
    <row r="28" spans="2:132" ht="17.100000000000001" customHeight="1">
      <c r="B28" s="58">
        <v>4</v>
      </c>
      <c r="C28" s="58" t="s">
        <v>658</v>
      </c>
      <c r="D28" s="59"/>
      <c r="E28" s="60"/>
      <c r="F28" s="60"/>
      <c r="G28" s="60" t="s">
        <v>844</v>
      </c>
      <c r="H28" s="62"/>
      <c r="I28" s="145" t="s">
        <v>836</v>
      </c>
      <c r="J28" s="61"/>
      <c r="K28" s="61"/>
      <c r="L28" s="145"/>
      <c r="M28" s="123"/>
      <c r="N28" s="61"/>
      <c r="O28" s="145" t="s">
        <v>836</v>
      </c>
      <c r="P28" s="61"/>
      <c r="Q28" s="61"/>
      <c r="R28" s="61"/>
      <c r="S28" s="61"/>
      <c r="T28" s="61"/>
      <c r="U28" s="61"/>
      <c r="V28" s="63"/>
      <c r="W28" s="64">
        <v>45124</v>
      </c>
      <c r="X28" s="61">
        <v>3</v>
      </c>
      <c r="Y28" s="140">
        <f t="shared" si="20"/>
        <v>45126</v>
      </c>
      <c r="Z28" s="64">
        <v>45117</v>
      </c>
      <c r="AA28" s="126">
        <f t="shared" ca="1" si="18"/>
        <v>232</v>
      </c>
      <c r="AB28" s="65"/>
      <c r="AC28" s="66">
        <v>0.2</v>
      </c>
      <c r="AD28" s="125" t="str">
        <f t="shared" si="19"/>
        <v>In-Progress</v>
      </c>
      <c r="AE28" s="150"/>
      <c r="AF28" s="80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1"/>
      <c r="CG28" s="81"/>
      <c r="CH28" s="81"/>
      <c r="CI28" s="81"/>
      <c r="CJ28" s="81"/>
      <c r="CK28" s="81"/>
      <c r="CL28" s="81"/>
      <c r="CM28" s="81"/>
      <c r="CN28" s="81"/>
      <c r="CO28" s="81"/>
      <c r="CP28" s="81"/>
      <c r="CQ28" s="81"/>
      <c r="CR28" s="81"/>
      <c r="CS28" s="81"/>
      <c r="CT28" s="81"/>
      <c r="CU28" s="81"/>
      <c r="CV28" s="81"/>
      <c r="CW28" s="81"/>
      <c r="CX28" s="81"/>
      <c r="CY28" s="81"/>
      <c r="CZ28" s="81"/>
      <c r="DA28" s="81"/>
      <c r="DB28" s="81"/>
      <c r="DC28" s="81"/>
      <c r="DD28" s="81"/>
      <c r="DE28" s="81"/>
      <c r="DF28" s="81"/>
      <c r="DG28" s="81"/>
      <c r="DH28" s="81"/>
      <c r="DI28" s="81"/>
      <c r="DJ28" s="81"/>
      <c r="DK28" s="81"/>
      <c r="DL28" s="81"/>
      <c r="DM28" s="81"/>
      <c r="DN28" s="81"/>
      <c r="DO28" s="81"/>
      <c r="DP28" s="81"/>
      <c r="DQ28" s="81"/>
      <c r="DR28" s="81"/>
      <c r="DS28" s="81"/>
      <c r="DT28" s="81"/>
      <c r="DU28" s="81"/>
      <c r="DV28" s="81"/>
      <c r="DW28" s="81"/>
      <c r="DX28" s="81"/>
      <c r="DY28" s="81"/>
      <c r="DZ28" s="81"/>
      <c r="EA28" s="81"/>
      <c r="EB28" s="81"/>
    </row>
    <row r="29" spans="2:132" ht="17.100000000000001" customHeight="1">
      <c r="B29" s="92">
        <v>3</v>
      </c>
      <c r="C29" s="92" t="s">
        <v>655</v>
      </c>
      <c r="D29" s="93"/>
      <c r="E29" s="94"/>
      <c r="F29" s="94" t="s">
        <v>845</v>
      </c>
      <c r="G29" s="94"/>
      <c r="H29" s="95"/>
      <c r="I29" s="118" t="str">
        <f>IF(COUNTIF(I30:I35,"●")&gt;0,"●","")</f>
        <v/>
      </c>
      <c r="J29" s="91" t="str">
        <f t="shared" ref="J29:L29" si="21">IF(COUNTIF(J30:J35,"●")&gt;0,"●","")</f>
        <v>●</v>
      </c>
      <c r="K29" s="91" t="str">
        <f t="shared" ref="K29" si="22">IF(COUNTIF(K30:K35,"●")&gt;0,"●","")</f>
        <v/>
      </c>
      <c r="L29" s="144" t="str">
        <f t="shared" si="21"/>
        <v/>
      </c>
      <c r="M29" s="118" t="str">
        <f>IF(COUNTIF(M30:M35,"●")&gt;0,"●","")</f>
        <v/>
      </c>
      <c r="N29" s="91" t="str">
        <f t="shared" ref="N29:V29" si="23">IF(COUNTIF(N30:N35,"●")&gt;0,"●","")</f>
        <v/>
      </c>
      <c r="O29" s="144" t="str">
        <f t="shared" si="23"/>
        <v>●</v>
      </c>
      <c r="P29" s="144" t="str">
        <f t="shared" si="23"/>
        <v/>
      </c>
      <c r="Q29" s="144" t="str">
        <f t="shared" si="23"/>
        <v/>
      </c>
      <c r="R29" s="144" t="str">
        <f t="shared" si="23"/>
        <v/>
      </c>
      <c r="S29" s="144" t="str">
        <f t="shared" si="23"/>
        <v/>
      </c>
      <c r="T29" s="144" t="str">
        <f t="shared" si="23"/>
        <v/>
      </c>
      <c r="U29" s="144" t="str">
        <f t="shared" si="23"/>
        <v/>
      </c>
      <c r="V29" s="144" t="str">
        <f t="shared" si="23"/>
        <v/>
      </c>
      <c r="W29" s="96">
        <f>IF(MIN(W30:W35)=0,"",MIN(W30:W35))</f>
        <v>45127</v>
      </c>
      <c r="X29" s="97">
        <f ca="1">IF(AND(W29="",Y29="")=TRUE,"",IF(AND(W29&gt;0,Y29="")=TRUE,NETWORKDAYS(W29,TODAY(),Holidays),NETWORKDAYS(W29,Y29,Holidays)))</f>
        <v>15</v>
      </c>
      <c r="Y29" s="138">
        <f>IF(MAX(Y30:Y35)=0,"",MAX(Y30:Y35))</f>
        <v>45147</v>
      </c>
      <c r="Z29" s="96">
        <f>IF(MIN(Z30:Z35)=0,"",MIN(Z30:Z35))</f>
        <v>45117</v>
      </c>
      <c r="AA29" s="97">
        <f t="shared" ca="1" si="13"/>
        <v>232</v>
      </c>
      <c r="AB29" s="98" t="str">
        <f>IF(MAX(AB30:AB35)=0,"",MAX(AB30:AB35))</f>
        <v/>
      </c>
      <c r="AC29" s="99">
        <f>IFERROR(AVERAGE(AC30:AC35),"")</f>
        <v>5.000000000000001E-2</v>
      </c>
      <c r="AD29" s="100" t="str">
        <f t="shared" si="14"/>
        <v>In-Progress</v>
      </c>
      <c r="AE29" s="101"/>
      <c r="AF29" s="80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1"/>
      <c r="CG29" s="81"/>
      <c r="CH29" s="81"/>
      <c r="CI29" s="81"/>
      <c r="CJ29" s="81"/>
      <c r="CK29" s="81"/>
      <c r="CL29" s="81"/>
      <c r="CM29" s="81"/>
      <c r="CN29" s="81"/>
      <c r="CO29" s="81"/>
      <c r="CP29" s="81"/>
      <c r="CQ29" s="81"/>
      <c r="CR29" s="81"/>
      <c r="CS29" s="81"/>
      <c r="CT29" s="81"/>
      <c r="CU29" s="81"/>
      <c r="CV29" s="81"/>
      <c r="CW29" s="81"/>
      <c r="CX29" s="81"/>
      <c r="CY29" s="81"/>
      <c r="CZ29" s="81"/>
      <c r="DA29" s="81"/>
      <c r="DB29" s="81"/>
      <c r="DC29" s="81"/>
      <c r="DD29" s="81"/>
      <c r="DE29" s="81"/>
      <c r="DF29" s="81"/>
      <c r="DG29" s="81"/>
      <c r="DH29" s="81"/>
      <c r="DI29" s="81"/>
      <c r="DJ29" s="81"/>
      <c r="DK29" s="81"/>
      <c r="DL29" s="81"/>
      <c r="DM29" s="81"/>
      <c r="DN29" s="81"/>
      <c r="DO29" s="81"/>
      <c r="DP29" s="81"/>
      <c r="DQ29" s="81"/>
      <c r="DR29" s="81"/>
      <c r="DS29" s="81"/>
      <c r="DT29" s="81"/>
      <c r="DU29" s="81"/>
      <c r="DV29" s="81"/>
      <c r="DW29" s="81"/>
      <c r="DX29" s="81"/>
      <c r="DY29" s="81"/>
      <c r="DZ29" s="81"/>
      <c r="EA29" s="81"/>
      <c r="EB29" s="81"/>
    </row>
    <row r="30" spans="2:132" ht="17.100000000000001" customHeight="1">
      <c r="B30" s="58">
        <v>4</v>
      </c>
      <c r="C30" s="58" t="s">
        <v>658</v>
      </c>
      <c r="D30" s="59"/>
      <c r="E30" s="60"/>
      <c r="F30" s="60"/>
      <c r="G30" s="60" t="s">
        <v>846</v>
      </c>
      <c r="H30" s="62"/>
      <c r="I30" s="123"/>
      <c r="J30" s="145" t="s">
        <v>836</v>
      </c>
      <c r="K30" s="61"/>
      <c r="L30" s="145"/>
      <c r="M30" s="123"/>
      <c r="N30" s="61"/>
      <c r="O30" s="145" t="s">
        <v>836</v>
      </c>
      <c r="P30" s="61"/>
      <c r="Q30" s="61"/>
      <c r="R30" s="61"/>
      <c r="S30" s="61"/>
      <c r="T30" s="61"/>
      <c r="U30" s="61"/>
      <c r="V30" s="63"/>
      <c r="W30" s="64">
        <v>45127</v>
      </c>
      <c r="X30" s="61">
        <v>3</v>
      </c>
      <c r="Y30" s="140">
        <f t="shared" ref="Y30:Y35" si="24">IF(AND(W30="",X30="")=TRUE,"",WORKDAY(W30,X30-1,Holidays))</f>
        <v>45131</v>
      </c>
      <c r="Z30" s="64">
        <v>45117</v>
      </c>
      <c r="AA30" s="126">
        <f t="shared" ca="1" si="13"/>
        <v>232</v>
      </c>
      <c r="AB30" s="65"/>
      <c r="AC30" s="66">
        <v>0.1</v>
      </c>
      <c r="AD30" s="125" t="str">
        <f t="shared" si="14"/>
        <v>In-Progress</v>
      </c>
      <c r="AE30" s="150"/>
      <c r="AF30" s="80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1"/>
      <c r="CF30" s="81"/>
      <c r="CG30" s="81"/>
      <c r="CH30" s="81"/>
      <c r="CI30" s="81"/>
      <c r="CJ30" s="81"/>
      <c r="CK30" s="81"/>
      <c r="CL30" s="81"/>
      <c r="CM30" s="81"/>
      <c r="CN30" s="81"/>
      <c r="CO30" s="81"/>
      <c r="CP30" s="81"/>
      <c r="CQ30" s="81"/>
      <c r="CR30" s="81"/>
      <c r="CS30" s="81"/>
      <c r="CT30" s="81"/>
      <c r="CU30" s="81"/>
      <c r="CV30" s="81"/>
      <c r="CW30" s="81"/>
      <c r="CX30" s="81"/>
      <c r="CY30" s="81"/>
      <c r="CZ30" s="81"/>
      <c r="DA30" s="81"/>
      <c r="DB30" s="81"/>
      <c r="DC30" s="81"/>
      <c r="DD30" s="81"/>
      <c r="DE30" s="81"/>
      <c r="DF30" s="81"/>
      <c r="DG30" s="81"/>
      <c r="DH30" s="81"/>
      <c r="DI30" s="81"/>
      <c r="DJ30" s="81"/>
      <c r="DK30" s="81"/>
      <c r="DL30" s="81"/>
      <c r="DM30" s="81"/>
      <c r="DN30" s="81"/>
      <c r="DO30" s="81"/>
      <c r="DP30" s="81"/>
      <c r="DQ30" s="81"/>
      <c r="DR30" s="81"/>
      <c r="DS30" s="81"/>
      <c r="DT30" s="81"/>
      <c r="DU30" s="81"/>
      <c r="DV30" s="81"/>
      <c r="DW30" s="81"/>
      <c r="DX30" s="81"/>
      <c r="DY30" s="81"/>
      <c r="DZ30" s="81"/>
      <c r="EA30" s="81"/>
      <c r="EB30" s="81"/>
    </row>
    <row r="31" spans="2:132" ht="17.100000000000001" customHeight="1">
      <c r="B31" s="58">
        <v>4</v>
      </c>
      <c r="C31" s="58" t="s">
        <v>658</v>
      </c>
      <c r="D31" s="59"/>
      <c r="E31" s="60"/>
      <c r="F31" s="60"/>
      <c r="G31" s="60" t="s">
        <v>847</v>
      </c>
      <c r="H31" s="62"/>
      <c r="I31" s="123"/>
      <c r="J31" s="145" t="s">
        <v>836</v>
      </c>
      <c r="K31" s="61"/>
      <c r="L31" s="145"/>
      <c r="M31" s="123"/>
      <c r="N31" s="61"/>
      <c r="O31" s="145" t="s">
        <v>836</v>
      </c>
      <c r="P31" s="61"/>
      <c r="Q31" s="61"/>
      <c r="R31" s="61"/>
      <c r="S31" s="61"/>
      <c r="T31" s="61"/>
      <c r="U31" s="61"/>
      <c r="V31" s="63"/>
      <c r="W31" s="64">
        <v>45132</v>
      </c>
      <c r="X31" s="61">
        <v>3</v>
      </c>
      <c r="Y31" s="140">
        <f t="shared" si="24"/>
        <v>45134</v>
      </c>
      <c r="Z31" s="64">
        <v>45117</v>
      </c>
      <c r="AA31" s="126">
        <f t="shared" ca="1" si="13"/>
        <v>232</v>
      </c>
      <c r="AB31" s="65"/>
      <c r="AC31" s="66">
        <v>0.1</v>
      </c>
      <c r="AD31" s="125" t="str">
        <f t="shared" si="14"/>
        <v>In-Progress</v>
      </c>
      <c r="AE31" s="150"/>
      <c r="AF31" s="80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1"/>
      <c r="CF31" s="81"/>
      <c r="CG31" s="81"/>
      <c r="CH31" s="81"/>
      <c r="CI31" s="81"/>
      <c r="CJ31" s="81"/>
      <c r="CK31" s="81"/>
      <c r="CL31" s="81"/>
      <c r="CM31" s="81"/>
      <c r="CN31" s="81"/>
      <c r="CO31" s="81"/>
      <c r="CP31" s="81"/>
      <c r="CQ31" s="81"/>
      <c r="CR31" s="81"/>
      <c r="CS31" s="81"/>
      <c r="CT31" s="81"/>
      <c r="CU31" s="81"/>
      <c r="CV31" s="81"/>
      <c r="CW31" s="81"/>
      <c r="CX31" s="81"/>
      <c r="CY31" s="81"/>
      <c r="CZ31" s="81"/>
      <c r="DA31" s="81"/>
      <c r="DB31" s="81"/>
      <c r="DC31" s="81"/>
      <c r="DD31" s="81"/>
      <c r="DE31" s="81"/>
      <c r="DF31" s="81"/>
      <c r="DG31" s="81"/>
      <c r="DH31" s="81"/>
      <c r="DI31" s="81"/>
      <c r="DJ31" s="81"/>
      <c r="DK31" s="81"/>
      <c r="DL31" s="81"/>
      <c r="DM31" s="81"/>
      <c r="DN31" s="81"/>
      <c r="DO31" s="81"/>
      <c r="DP31" s="81"/>
      <c r="DQ31" s="81"/>
      <c r="DR31" s="81"/>
      <c r="DS31" s="81"/>
      <c r="DT31" s="81"/>
      <c r="DU31" s="81"/>
      <c r="DV31" s="81"/>
      <c r="DW31" s="81"/>
      <c r="DX31" s="81"/>
      <c r="DY31" s="81"/>
      <c r="DZ31" s="81"/>
      <c r="EA31" s="81"/>
      <c r="EB31" s="81"/>
    </row>
    <row r="32" spans="2:132" ht="17.100000000000001" customHeight="1">
      <c r="B32" s="58">
        <v>4</v>
      </c>
      <c r="C32" s="58" t="s">
        <v>658</v>
      </c>
      <c r="D32" s="59"/>
      <c r="E32" s="60"/>
      <c r="F32" s="60"/>
      <c r="G32" s="60" t="s">
        <v>848</v>
      </c>
      <c r="H32" s="62"/>
      <c r="I32" s="123"/>
      <c r="J32" s="145" t="s">
        <v>836</v>
      </c>
      <c r="K32" s="61"/>
      <c r="L32" s="145"/>
      <c r="M32" s="123"/>
      <c r="N32" s="61"/>
      <c r="O32" s="145" t="s">
        <v>836</v>
      </c>
      <c r="P32" s="61"/>
      <c r="Q32" s="61"/>
      <c r="R32" s="61"/>
      <c r="S32" s="61"/>
      <c r="T32" s="61"/>
      <c r="U32" s="61"/>
      <c r="V32" s="63"/>
      <c r="W32" s="64">
        <v>45135</v>
      </c>
      <c r="X32" s="61">
        <v>3</v>
      </c>
      <c r="Y32" s="140">
        <f t="shared" si="24"/>
        <v>45139</v>
      </c>
      <c r="Z32" s="64">
        <v>45117</v>
      </c>
      <c r="AA32" s="126">
        <f t="shared" ca="1" si="13"/>
        <v>232</v>
      </c>
      <c r="AB32" s="65"/>
      <c r="AC32" s="66">
        <v>0.1</v>
      </c>
      <c r="AD32" s="125" t="str">
        <f t="shared" si="14"/>
        <v>In-Progress</v>
      </c>
      <c r="AE32" s="150"/>
      <c r="AF32" s="80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1"/>
      <c r="CF32" s="81"/>
      <c r="CG32" s="81"/>
      <c r="CH32" s="81"/>
      <c r="CI32" s="81"/>
      <c r="CJ32" s="81"/>
      <c r="CK32" s="81"/>
      <c r="CL32" s="81"/>
      <c r="CM32" s="81"/>
      <c r="CN32" s="81"/>
      <c r="CO32" s="81"/>
      <c r="CP32" s="81"/>
      <c r="CQ32" s="81"/>
      <c r="CR32" s="81"/>
      <c r="CS32" s="81"/>
      <c r="CT32" s="81"/>
      <c r="CU32" s="81"/>
      <c r="CV32" s="81"/>
      <c r="CW32" s="81"/>
      <c r="CX32" s="81"/>
      <c r="CY32" s="81"/>
      <c r="CZ32" s="81"/>
      <c r="DA32" s="81"/>
      <c r="DB32" s="81"/>
      <c r="DC32" s="81"/>
      <c r="DD32" s="81"/>
      <c r="DE32" s="81"/>
      <c r="DF32" s="81"/>
      <c r="DG32" s="81"/>
      <c r="DH32" s="81"/>
      <c r="DI32" s="81"/>
      <c r="DJ32" s="81"/>
      <c r="DK32" s="81"/>
      <c r="DL32" s="81"/>
      <c r="DM32" s="81"/>
      <c r="DN32" s="81"/>
      <c r="DO32" s="81"/>
      <c r="DP32" s="81"/>
      <c r="DQ32" s="81"/>
      <c r="DR32" s="81"/>
      <c r="DS32" s="81"/>
      <c r="DT32" s="81"/>
      <c r="DU32" s="81"/>
      <c r="DV32" s="81"/>
      <c r="DW32" s="81"/>
      <c r="DX32" s="81"/>
      <c r="DY32" s="81"/>
      <c r="DZ32" s="81"/>
      <c r="EA32" s="81"/>
      <c r="EB32" s="81"/>
    </row>
    <row r="33" spans="2:132" ht="17.100000000000001" customHeight="1">
      <c r="B33" s="58">
        <v>4</v>
      </c>
      <c r="C33" s="58" t="s">
        <v>658</v>
      </c>
      <c r="D33" s="59"/>
      <c r="E33" s="60"/>
      <c r="F33" s="60"/>
      <c r="G33" s="60" t="s">
        <v>849</v>
      </c>
      <c r="H33" s="62"/>
      <c r="I33" s="123"/>
      <c r="J33" s="145" t="s">
        <v>836</v>
      </c>
      <c r="K33" s="61"/>
      <c r="L33" s="145"/>
      <c r="M33" s="123"/>
      <c r="N33" s="61"/>
      <c r="O33" s="145" t="s">
        <v>836</v>
      </c>
      <c r="P33" s="61"/>
      <c r="Q33" s="61"/>
      <c r="R33" s="61"/>
      <c r="S33" s="61"/>
      <c r="T33" s="61"/>
      <c r="U33" s="61"/>
      <c r="V33" s="63"/>
      <c r="W33" s="64">
        <v>45140</v>
      </c>
      <c r="X33" s="61">
        <v>2</v>
      </c>
      <c r="Y33" s="140">
        <f t="shared" si="24"/>
        <v>45141</v>
      </c>
      <c r="Z33" s="64"/>
      <c r="AA33" s="126" t="str">
        <f t="shared" ca="1" si="13"/>
        <v/>
      </c>
      <c r="AB33" s="65"/>
      <c r="AC33" s="66">
        <v>0</v>
      </c>
      <c r="AD33" s="125" t="str">
        <f t="shared" si="14"/>
        <v>Open</v>
      </c>
      <c r="AE33" s="150"/>
      <c r="AF33" s="80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F33" s="81"/>
      <c r="CG33" s="81"/>
      <c r="CH33" s="81"/>
      <c r="CI33" s="81"/>
      <c r="CJ33" s="81"/>
      <c r="CK33" s="81"/>
      <c r="CL33" s="81"/>
      <c r="CM33" s="81"/>
      <c r="CN33" s="81"/>
      <c r="CO33" s="81"/>
      <c r="CP33" s="81"/>
      <c r="CQ33" s="81"/>
      <c r="CR33" s="81"/>
      <c r="CS33" s="81"/>
      <c r="CT33" s="81"/>
      <c r="CU33" s="81"/>
      <c r="CV33" s="81"/>
      <c r="CW33" s="81"/>
      <c r="CX33" s="81"/>
      <c r="CY33" s="81"/>
      <c r="CZ33" s="81"/>
      <c r="DA33" s="81"/>
      <c r="DB33" s="81"/>
      <c r="DC33" s="81"/>
      <c r="DD33" s="81"/>
      <c r="DE33" s="81"/>
      <c r="DF33" s="81"/>
      <c r="DG33" s="81"/>
      <c r="DH33" s="81"/>
      <c r="DI33" s="81"/>
      <c r="DJ33" s="81"/>
      <c r="DK33" s="81"/>
      <c r="DL33" s="81"/>
      <c r="DM33" s="81"/>
      <c r="DN33" s="81"/>
      <c r="DO33" s="81"/>
      <c r="DP33" s="81"/>
      <c r="DQ33" s="81"/>
      <c r="DR33" s="81"/>
      <c r="DS33" s="81"/>
      <c r="DT33" s="81"/>
      <c r="DU33" s="81"/>
      <c r="DV33" s="81"/>
      <c r="DW33" s="81"/>
      <c r="DX33" s="81"/>
      <c r="DY33" s="81"/>
      <c r="DZ33" s="81"/>
      <c r="EA33" s="81"/>
      <c r="EB33" s="81"/>
    </row>
    <row r="34" spans="2:132" ht="17.100000000000001" customHeight="1">
      <c r="B34" s="58">
        <v>4</v>
      </c>
      <c r="C34" s="58" t="s">
        <v>658</v>
      </c>
      <c r="D34" s="59"/>
      <c r="E34" s="60"/>
      <c r="F34" s="60"/>
      <c r="G34" s="60" t="s">
        <v>850</v>
      </c>
      <c r="H34" s="62"/>
      <c r="I34" s="123"/>
      <c r="J34" s="145" t="s">
        <v>836</v>
      </c>
      <c r="K34" s="61"/>
      <c r="L34" s="145"/>
      <c r="M34" s="123"/>
      <c r="N34" s="61"/>
      <c r="O34" s="145" t="s">
        <v>836</v>
      </c>
      <c r="P34" s="61"/>
      <c r="Q34" s="61"/>
      <c r="R34" s="61"/>
      <c r="S34" s="61"/>
      <c r="T34" s="61"/>
      <c r="U34" s="61"/>
      <c r="V34" s="63"/>
      <c r="W34" s="64">
        <v>45142</v>
      </c>
      <c r="X34" s="61">
        <v>2</v>
      </c>
      <c r="Y34" s="140">
        <f t="shared" si="24"/>
        <v>45145</v>
      </c>
      <c r="Z34" s="64"/>
      <c r="AA34" s="126" t="str">
        <f t="shared" ref="AA34:AA44" ca="1" si="25">IF(AND(Z34="",AB34="")=TRUE,"",IF(AND(Z34&gt;0,AB34="")=TRUE,NETWORKDAYS(Z34,TODAY(),Holidays),NETWORKDAYS(Z34,AB34,Holidays)))</f>
        <v/>
      </c>
      <c r="AB34" s="65"/>
      <c r="AC34" s="66">
        <v>0</v>
      </c>
      <c r="AD34" s="125" t="str">
        <f t="shared" ref="AD34:AD44" si="26">IF(AC34=100%,"Completed",IF(AND(AC34&lt;100%,AC34&gt;0%)=TRUE,"In-Progress","Open"))</f>
        <v>Open</v>
      </c>
      <c r="AE34" s="150"/>
      <c r="AF34" s="80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  <c r="BA34" s="81"/>
      <c r="BB34" s="81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1"/>
      <c r="CF34" s="81"/>
      <c r="CG34" s="81"/>
      <c r="CH34" s="81"/>
      <c r="CI34" s="81"/>
      <c r="CJ34" s="81"/>
      <c r="CK34" s="81"/>
      <c r="CL34" s="81"/>
      <c r="CM34" s="81"/>
      <c r="CN34" s="81"/>
      <c r="CO34" s="81"/>
      <c r="CP34" s="81"/>
      <c r="CQ34" s="81"/>
      <c r="CR34" s="81"/>
      <c r="CS34" s="81"/>
      <c r="CT34" s="81"/>
      <c r="CU34" s="81"/>
      <c r="CV34" s="81"/>
      <c r="CW34" s="81"/>
      <c r="CX34" s="81"/>
      <c r="CY34" s="81"/>
      <c r="CZ34" s="81"/>
      <c r="DA34" s="81"/>
      <c r="DB34" s="81"/>
      <c r="DC34" s="81"/>
      <c r="DD34" s="81"/>
      <c r="DE34" s="81"/>
      <c r="DF34" s="81"/>
      <c r="DG34" s="81"/>
      <c r="DH34" s="81"/>
      <c r="DI34" s="81"/>
      <c r="DJ34" s="81"/>
      <c r="DK34" s="81"/>
      <c r="DL34" s="81"/>
      <c r="DM34" s="81"/>
      <c r="DN34" s="81"/>
      <c r="DO34" s="81"/>
      <c r="DP34" s="81"/>
      <c r="DQ34" s="81"/>
      <c r="DR34" s="81"/>
      <c r="DS34" s="81"/>
      <c r="DT34" s="81"/>
      <c r="DU34" s="81"/>
      <c r="DV34" s="81"/>
      <c r="DW34" s="81"/>
      <c r="DX34" s="81"/>
      <c r="DY34" s="81"/>
      <c r="DZ34" s="81"/>
      <c r="EA34" s="81"/>
      <c r="EB34" s="81"/>
    </row>
    <row r="35" spans="2:132" ht="17.100000000000001" customHeight="1">
      <c r="B35" s="58">
        <v>4</v>
      </c>
      <c r="C35" s="58" t="s">
        <v>658</v>
      </c>
      <c r="D35" s="59"/>
      <c r="E35" s="60"/>
      <c r="F35" s="60"/>
      <c r="G35" s="60" t="s">
        <v>851</v>
      </c>
      <c r="H35" s="62"/>
      <c r="I35" s="123"/>
      <c r="J35" s="145" t="s">
        <v>836</v>
      </c>
      <c r="K35" s="61"/>
      <c r="L35" s="145"/>
      <c r="M35" s="123"/>
      <c r="N35" s="61"/>
      <c r="O35" s="145" t="s">
        <v>836</v>
      </c>
      <c r="P35" s="61"/>
      <c r="Q35" s="61"/>
      <c r="R35" s="61"/>
      <c r="S35" s="61"/>
      <c r="T35" s="61"/>
      <c r="U35" s="61"/>
      <c r="V35" s="63"/>
      <c r="W35" s="64">
        <v>45146</v>
      </c>
      <c r="X35" s="61">
        <v>2</v>
      </c>
      <c r="Y35" s="140">
        <f t="shared" si="24"/>
        <v>45147</v>
      </c>
      <c r="Z35" s="64"/>
      <c r="AA35" s="126" t="str">
        <f t="shared" ca="1" si="25"/>
        <v/>
      </c>
      <c r="AB35" s="65"/>
      <c r="AC35" s="66">
        <v>0</v>
      </c>
      <c r="AD35" s="125" t="str">
        <f t="shared" si="26"/>
        <v>Open</v>
      </c>
      <c r="AE35" s="150"/>
      <c r="AF35" s="80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  <c r="BA35" s="81"/>
      <c r="BB35" s="81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1"/>
      <c r="CF35" s="81"/>
      <c r="CG35" s="81"/>
      <c r="CH35" s="81"/>
      <c r="CI35" s="81"/>
      <c r="CJ35" s="81"/>
      <c r="CK35" s="81"/>
      <c r="CL35" s="81"/>
      <c r="CM35" s="81"/>
      <c r="CN35" s="81"/>
      <c r="CO35" s="81"/>
      <c r="CP35" s="81"/>
      <c r="CQ35" s="81"/>
      <c r="CR35" s="81"/>
      <c r="CS35" s="81"/>
      <c r="CT35" s="81"/>
      <c r="CU35" s="81"/>
      <c r="CV35" s="81"/>
      <c r="CW35" s="81"/>
      <c r="CX35" s="81"/>
      <c r="CY35" s="81"/>
      <c r="CZ35" s="81"/>
      <c r="DA35" s="81"/>
      <c r="DB35" s="81"/>
      <c r="DC35" s="81"/>
      <c r="DD35" s="81"/>
      <c r="DE35" s="81"/>
      <c r="DF35" s="81"/>
      <c r="DG35" s="81"/>
      <c r="DH35" s="81"/>
      <c r="DI35" s="81"/>
      <c r="DJ35" s="81"/>
      <c r="DK35" s="81"/>
      <c r="DL35" s="81"/>
      <c r="DM35" s="81"/>
      <c r="DN35" s="81"/>
      <c r="DO35" s="81"/>
      <c r="DP35" s="81"/>
      <c r="DQ35" s="81"/>
      <c r="DR35" s="81"/>
      <c r="DS35" s="81"/>
      <c r="DT35" s="81"/>
      <c r="DU35" s="81"/>
      <c r="DV35" s="81"/>
      <c r="DW35" s="81"/>
      <c r="DX35" s="81"/>
      <c r="DY35" s="81"/>
      <c r="DZ35" s="81"/>
      <c r="EA35" s="81"/>
      <c r="EB35" s="81"/>
    </row>
    <row r="36" spans="2:132" ht="17.100000000000001" customHeight="1">
      <c r="B36" s="92">
        <v>3</v>
      </c>
      <c r="C36" s="92" t="s">
        <v>655</v>
      </c>
      <c r="D36" s="93"/>
      <c r="E36" s="94"/>
      <c r="F36" s="94" t="s">
        <v>852</v>
      </c>
      <c r="G36" s="94"/>
      <c r="H36" s="95"/>
      <c r="I36" s="118" t="str">
        <f>IF(COUNTIF(I37:I39,"●")&gt;0,"●","")</f>
        <v/>
      </c>
      <c r="J36" s="91" t="str">
        <f t="shared" ref="J36:L36" si="27">IF(COUNTIF(J37:J39,"●")&gt;0,"●","")</f>
        <v/>
      </c>
      <c r="K36" s="91" t="str">
        <f t="shared" ref="K36" si="28">IF(COUNTIF(K37:K39,"●")&gt;0,"●","")</f>
        <v/>
      </c>
      <c r="L36" s="144" t="str">
        <f t="shared" si="27"/>
        <v/>
      </c>
      <c r="M36" s="118" t="str">
        <f>IF(COUNTIF(M37:M39,"●")&gt;0,"●","")</f>
        <v/>
      </c>
      <c r="N36" s="91" t="str">
        <f t="shared" ref="N36:V36" si="29">IF(COUNTIF(N37:N39,"●")&gt;0,"●","")</f>
        <v/>
      </c>
      <c r="O36" s="144" t="str">
        <f t="shared" si="29"/>
        <v>●</v>
      </c>
      <c r="P36" s="144" t="str">
        <f t="shared" si="29"/>
        <v/>
      </c>
      <c r="Q36" s="144" t="str">
        <f t="shared" si="29"/>
        <v/>
      </c>
      <c r="R36" s="144" t="str">
        <f t="shared" si="29"/>
        <v/>
      </c>
      <c r="S36" s="144" t="str">
        <f t="shared" si="29"/>
        <v/>
      </c>
      <c r="T36" s="144" t="str">
        <f t="shared" si="29"/>
        <v/>
      </c>
      <c r="U36" s="144" t="str">
        <f t="shared" si="29"/>
        <v/>
      </c>
      <c r="V36" s="144" t="str">
        <f t="shared" si="29"/>
        <v/>
      </c>
      <c r="W36" s="96">
        <f>IF(MIN(W37:W39)=0,"",MIN(W37:W39))</f>
        <v>45148</v>
      </c>
      <c r="X36" s="97">
        <f ca="1">IF(AND(W36="",Y36="")=TRUE,"",IF(AND(W36&gt;0,Y36="")=TRUE,NETWORKDAYS(W36,TODAY(),Holidays),NETWORKDAYS(W36,Y36,Holidays)))</f>
        <v>11</v>
      </c>
      <c r="Y36" s="138">
        <f>IF(MAX(Y37:Y39)=0,"",MAX(Y37:Y39))</f>
        <v>45163</v>
      </c>
      <c r="Z36" s="96">
        <f>IF(MIN(Z37:Z39)=0,"",MIN(Z37:Z39))</f>
        <v>45120</v>
      </c>
      <c r="AA36" s="97">
        <f t="shared" ca="1" si="25"/>
        <v>229</v>
      </c>
      <c r="AB36" s="98" t="str">
        <f>IF(MAX(AB37:AB39)=0,"",MAX(AB37:AB39))</f>
        <v/>
      </c>
      <c r="AC36" s="99">
        <f>IFERROR(AVERAGE(AC37:AC39),"")</f>
        <v>6.6666666666666666E-2</v>
      </c>
      <c r="AD36" s="100" t="str">
        <f t="shared" si="26"/>
        <v>In-Progress</v>
      </c>
      <c r="AE36" s="101"/>
      <c r="AF36" s="80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1"/>
      <c r="CF36" s="81"/>
      <c r="CG36" s="81"/>
      <c r="CH36" s="81"/>
      <c r="CI36" s="81"/>
      <c r="CJ36" s="81"/>
      <c r="CK36" s="81"/>
      <c r="CL36" s="81"/>
      <c r="CM36" s="81"/>
      <c r="CN36" s="81"/>
      <c r="CO36" s="81"/>
      <c r="CP36" s="81"/>
      <c r="CQ36" s="81"/>
      <c r="CR36" s="81"/>
      <c r="CS36" s="81"/>
      <c r="CT36" s="81"/>
      <c r="CU36" s="81"/>
      <c r="CV36" s="81"/>
      <c r="CW36" s="81"/>
      <c r="CX36" s="81"/>
      <c r="CY36" s="81"/>
      <c r="CZ36" s="81"/>
      <c r="DA36" s="81"/>
      <c r="DB36" s="81"/>
      <c r="DC36" s="81"/>
      <c r="DD36" s="81"/>
      <c r="DE36" s="81"/>
      <c r="DF36" s="81"/>
      <c r="DG36" s="81"/>
      <c r="DH36" s="81"/>
      <c r="DI36" s="81"/>
      <c r="DJ36" s="81"/>
      <c r="DK36" s="81"/>
      <c r="DL36" s="81"/>
      <c r="DM36" s="81"/>
      <c r="DN36" s="81"/>
      <c r="DO36" s="81"/>
      <c r="DP36" s="81"/>
      <c r="DQ36" s="81"/>
      <c r="DR36" s="81"/>
      <c r="DS36" s="81"/>
      <c r="DT36" s="81"/>
      <c r="DU36" s="81"/>
      <c r="DV36" s="81"/>
      <c r="DW36" s="81"/>
      <c r="DX36" s="81"/>
      <c r="DY36" s="81"/>
      <c r="DZ36" s="81"/>
      <c r="EA36" s="81"/>
      <c r="EB36" s="81"/>
    </row>
    <row r="37" spans="2:132" ht="17.100000000000001" customHeight="1">
      <c r="B37" s="58">
        <v>4</v>
      </c>
      <c r="C37" s="58" t="s">
        <v>658</v>
      </c>
      <c r="D37" s="59"/>
      <c r="E37" s="60"/>
      <c r="F37" s="60"/>
      <c r="G37" s="60" t="s">
        <v>853</v>
      </c>
      <c r="H37" s="62"/>
      <c r="I37" s="123"/>
      <c r="J37" s="61"/>
      <c r="K37" s="61"/>
      <c r="L37" s="145"/>
      <c r="M37" s="123"/>
      <c r="N37" s="61"/>
      <c r="O37" s="145" t="s">
        <v>836</v>
      </c>
      <c r="P37" s="61"/>
      <c r="Q37" s="61"/>
      <c r="R37" s="61"/>
      <c r="S37" s="61"/>
      <c r="T37" s="61"/>
      <c r="U37" s="61"/>
      <c r="V37" s="63"/>
      <c r="W37" s="64">
        <v>45148</v>
      </c>
      <c r="X37" s="61">
        <v>3</v>
      </c>
      <c r="Y37" s="140">
        <f t="shared" ref="Y37:Y39" si="30">IF(AND(W37="",X37="")=TRUE,"",WORKDAY(W37,X37-1,Holidays))</f>
        <v>45152</v>
      </c>
      <c r="Z37" s="64">
        <v>45120</v>
      </c>
      <c r="AA37" s="126">
        <f t="shared" ca="1" si="25"/>
        <v>229</v>
      </c>
      <c r="AB37" s="65"/>
      <c r="AC37" s="66">
        <v>0.1</v>
      </c>
      <c r="AD37" s="125" t="str">
        <f t="shared" si="26"/>
        <v>In-Progress</v>
      </c>
      <c r="AE37" s="150"/>
      <c r="AF37" s="80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1"/>
      <c r="CI37" s="81"/>
      <c r="CJ37" s="81"/>
      <c r="CK37" s="81"/>
      <c r="CL37" s="81"/>
      <c r="CM37" s="81"/>
      <c r="CN37" s="81"/>
      <c r="CO37" s="81"/>
      <c r="CP37" s="81"/>
      <c r="CQ37" s="81"/>
      <c r="CR37" s="81"/>
      <c r="CS37" s="81"/>
      <c r="CT37" s="81"/>
      <c r="CU37" s="81"/>
      <c r="CV37" s="81"/>
      <c r="CW37" s="81"/>
      <c r="CX37" s="81"/>
      <c r="CY37" s="81"/>
      <c r="CZ37" s="81"/>
      <c r="DA37" s="81"/>
      <c r="DB37" s="81"/>
      <c r="DC37" s="81"/>
      <c r="DD37" s="81"/>
      <c r="DE37" s="81"/>
      <c r="DF37" s="81"/>
      <c r="DG37" s="81"/>
      <c r="DH37" s="81"/>
      <c r="DI37" s="81"/>
      <c r="DJ37" s="81"/>
      <c r="DK37" s="81"/>
      <c r="DL37" s="81"/>
      <c r="DM37" s="81"/>
      <c r="DN37" s="81"/>
      <c r="DO37" s="81"/>
      <c r="DP37" s="81"/>
      <c r="DQ37" s="81"/>
      <c r="DR37" s="81"/>
      <c r="DS37" s="81"/>
      <c r="DT37" s="81"/>
      <c r="DU37" s="81"/>
      <c r="DV37" s="81"/>
      <c r="DW37" s="81"/>
      <c r="DX37" s="81"/>
      <c r="DY37" s="81"/>
      <c r="DZ37" s="81"/>
      <c r="EA37" s="81"/>
      <c r="EB37" s="81"/>
    </row>
    <row r="38" spans="2:132" ht="17.100000000000001" customHeight="1">
      <c r="B38" s="58">
        <v>4</v>
      </c>
      <c r="C38" s="58" t="s">
        <v>658</v>
      </c>
      <c r="D38" s="59"/>
      <c r="E38" s="60"/>
      <c r="F38" s="60"/>
      <c r="G38" s="60" t="s">
        <v>854</v>
      </c>
      <c r="H38" s="62"/>
      <c r="I38" s="123"/>
      <c r="J38" s="61"/>
      <c r="K38" s="61"/>
      <c r="L38" s="145"/>
      <c r="M38" s="123"/>
      <c r="N38" s="61"/>
      <c r="O38" s="145" t="s">
        <v>836</v>
      </c>
      <c r="P38" s="61"/>
      <c r="Q38" s="61"/>
      <c r="R38" s="61"/>
      <c r="S38" s="61"/>
      <c r="T38" s="61"/>
      <c r="U38" s="61"/>
      <c r="V38" s="63"/>
      <c r="W38" s="64">
        <v>45154</v>
      </c>
      <c r="X38" s="61">
        <v>4</v>
      </c>
      <c r="Y38" s="140">
        <f t="shared" si="30"/>
        <v>45159</v>
      </c>
      <c r="Z38" s="64">
        <v>45120</v>
      </c>
      <c r="AA38" s="126"/>
      <c r="AB38" s="65"/>
      <c r="AC38" s="66">
        <v>0.1</v>
      </c>
      <c r="AD38" s="125" t="str">
        <f t="shared" si="26"/>
        <v>In-Progress</v>
      </c>
      <c r="AE38" s="150"/>
      <c r="AF38" s="80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  <c r="BA38" s="81"/>
      <c r="BB38" s="81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1"/>
      <c r="CI38" s="81"/>
      <c r="CJ38" s="81"/>
      <c r="CK38" s="81"/>
      <c r="CL38" s="81"/>
      <c r="CM38" s="81"/>
      <c r="CN38" s="81"/>
      <c r="CO38" s="81"/>
      <c r="CP38" s="81"/>
      <c r="CQ38" s="81"/>
      <c r="CR38" s="81"/>
      <c r="CS38" s="81"/>
      <c r="CT38" s="81"/>
      <c r="CU38" s="81"/>
      <c r="CV38" s="81"/>
      <c r="CW38" s="81"/>
      <c r="CX38" s="81"/>
      <c r="CY38" s="81"/>
      <c r="CZ38" s="81"/>
      <c r="DA38" s="81"/>
      <c r="DB38" s="81"/>
      <c r="DC38" s="81"/>
      <c r="DD38" s="81"/>
      <c r="DE38" s="81"/>
      <c r="DF38" s="81"/>
      <c r="DG38" s="81"/>
      <c r="DH38" s="81"/>
      <c r="DI38" s="81"/>
      <c r="DJ38" s="81"/>
      <c r="DK38" s="81"/>
      <c r="DL38" s="81"/>
      <c r="DM38" s="81"/>
      <c r="DN38" s="81"/>
      <c r="DO38" s="81"/>
      <c r="DP38" s="81"/>
      <c r="DQ38" s="81"/>
      <c r="DR38" s="81"/>
      <c r="DS38" s="81"/>
      <c r="DT38" s="81"/>
      <c r="DU38" s="81"/>
      <c r="DV38" s="81"/>
      <c r="DW38" s="81"/>
      <c r="DX38" s="81"/>
      <c r="DY38" s="81"/>
      <c r="DZ38" s="81"/>
      <c r="EA38" s="81"/>
      <c r="EB38" s="81"/>
    </row>
    <row r="39" spans="2:132" ht="17.100000000000001" customHeight="1">
      <c r="B39" s="58">
        <v>4</v>
      </c>
      <c r="C39" s="58" t="s">
        <v>658</v>
      </c>
      <c r="D39" s="59"/>
      <c r="E39" s="60"/>
      <c r="F39" s="60"/>
      <c r="G39" s="60" t="s">
        <v>855</v>
      </c>
      <c r="H39" s="62"/>
      <c r="I39" s="123"/>
      <c r="J39" s="61"/>
      <c r="K39" s="61"/>
      <c r="L39" s="145"/>
      <c r="M39" s="123"/>
      <c r="N39" s="61"/>
      <c r="O39" s="145" t="s">
        <v>836</v>
      </c>
      <c r="P39" s="61"/>
      <c r="Q39" s="61"/>
      <c r="R39" s="61"/>
      <c r="S39" s="61"/>
      <c r="T39" s="61"/>
      <c r="U39" s="61"/>
      <c r="V39" s="63"/>
      <c r="W39" s="64">
        <v>45160</v>
      </c>
      <c r="X39" s="61">
        <v>4</v>
      </c>
      <c r="Y39" s="140">
        <f t="shared" si="30"/>
        <v>45163</v>
      </c>
      <c r="Z39" s="64"/>
      <c r="AA39" s="126" t="str">
        <f t="shared" ca="1" si="25"/>
        <v/>
      </c>
      <c r="AB39" s="65"/>
      <c r="AC39" s="66">
        <v>0</v>
      </c>
      <c r="AD39" s="125" t="str">
        <f t="shared" si="26"/>
        <v>Open</v>
      </c>
      <c r="AE39" s="150"/>
      <c r="AF39" s="80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1"/>
      <c r="CI39" s="81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1"/>
      <c r="CU39" s="81"/>
      <c r="CV39" s="81"/>
      <c r="CW39" s="81"/>
      <c r="CX39" s="81"/>
      <c r="CY39" s="81"/>
      <c r="CZ39" s="81"/>
      <c r="DA39" s="81"/>
      <c r="DB39" s="81"/>
      <c r="DC39" s="81"/>
      <c r="DD39" s="81"/>
      <c r="DE39" s="81"/>
      <c r="DF39" s="81"/>
      <c r="DG39" s="81"/>
      <c r="DH39" s="81"/>
      <c r="DI39" s="81"/>
      <c r="DJ39" s="81"/>
      <c r="DK39" s="81"/>
      <c r="DL39" s="81"/>
      <c r="DM39" s="81"/>
      <c r="DN39" s="81"/>
      <c r="DO39" s="81"/>
      <c r="DP39" s="81"/>
      <c r="DQ39" s="81"/>
      <c r="DR39" s="81"/>
      <c r="DS39" s="81"/>
      <c r="DT39" s="81"/>
      <c r="DU39" s="81"/>
      <c r="DV39" s="81"/>
      <c r="DW39" s="81"/>
      <c r="DX39" s="81"/>
      <c r="DY39" s="81"/>
      <c r="DZ39" s="81"/>
      <c r="EA39" s="81"/>
      <c r="EB39" s="81"/>
    </row>
    <row r="40" spans="2:132" ht="17.100000000000001" customHeight="1">
      <c r="B40" s="92">
        <v>3</v>
      </c>
      <c r="C40" s="92" t="s">
        <v>655</v>
      </c>
      <c r="D40" s="93"/>
      <c r="E40" s="94"/>
      <c r="F40" s="94" t="s">
        <v>856</v>
      </c>
      <c r="G40" s="94"/>
      <c r="H40" s="95"/>
      <c r="I40" s="118" t="str">
        <f>IF(COUNTIF(I41:I46,"●")&gt;0,"●","")</f>
        <v>●</v>
      </c>
      <c r="J40" s="91" t="str">
        <f t="shared" ref="J40:L40" si="31">IF(COUNTIF(J41:J46,"●")&gt;0,"●","")</f>
        <v>●</v>
      </c>
      <c r="K40" s="91" t="str">
        <f t="shared" ref="K40" si="32">IF(COUNTIF(K41:K46,"●")&gt;0,"●","")</f>
        <v/>
      </c>
      <c r="L40" s="144" t="str">
        <f t="shared" si="31"/>
        <v/>
      </c>
      <c r="M40" s="118" t="str">
        <f>IF(COUNTIF(M41:M46,"●")&gt;0,"●","")</f>
        <v/>
      </c>
      <c r="N40" s="91" t="str">
        <f t="shared" ref="N40:V40" si="33">IF(COUNTIF(N41:N46,"●")&gt;0,"●","")</f>
        <v/>
      </c>
      <c r="O40" s="144" t="str">
        <f t="shared" si="33"/>
        <v>●</v>
      </c>
      <c r="P40" s="144" t="str">
        <f t="shared" si="33"/>
        <v/>
      </c>
      <c r="Q40" s="144" t="str">
        <f t="shared" si="33"/>
        <v/>
      </c>
      <c r="R40" s="144" t="str">
        <f t="shared" si="33"/>
        <v/>
      </c>
      <c r="S40" s="144" t="str">
        <f t="shared" si="33"/>
        <v/>
      </c>
      <c r="T40" s="144" t="str">
        <f t="shared" si="33"/>
        <v/>
      </c>
      <c r="U40" s="144" t="str">
        <f t="shared" si="33"/>
        <v/>
      </c>
      <c r="V40" s="144" t="str">
        <f t="shared" si="33"/>
        <v/>
      </c>
      <c r="W40" s="96">
        <f>IF(MIN(W41:W46)=0,"",MIN(W41:W46))</f>
        <v>45166</v>
      </c>
      <c r="X40" s="97">
        <f ca="1">IF(AND(W40="",Y40="")=TRUE,"",IF(AND(W40&gt;0,Y40="")=TRUE,NETWORKDAYS(W40,TODAY(),Holidays),NETWORKDAYS(W40,Y40,Holidays)))</f>
        <v>14</v>
      </c>
      <c r="Y40" s="138">
        <f>IF(MAX(Y41:Y46)=0,"",MAX(Y41:Y46))</f>
        <v>45183</v>
      </c>
      <c r="Z40" s="96" t="str">
        <f>IF(MIN(Z41:Z46)=0,"",MIN(Z41:Z46))</f>
        <v/>
      </c>
      <c r="AA40" s="97" t="str">
        <f t="shared" ca="1" si="25"/>
        <v/>
      </c>
      <c r="AB40" s="98" t="str">
        <f>IF(MAX(AB41:AB46)=0,"",MAX(AB41:AB46))</f>
        <v/>
      </c>
      <c r="AC40" s="99">
        <f>IFERROR(AVERAGE(AC41:AC46),"")</f>
        <v>0</v>
      </c>
      <c r="AD40" s="100" t="str">
        <f t="shared" si="26"/>
        <v>Open</v>
      </c>
      <c r="AE40" s="101"/>
      <c r="AF40" s="80"/>
      <c r="AG40" s="81"/>
      <c r="AH40" s="81"/>
      <c r="AI40" s="81"/>
      <c r="AJ40" s="81"/>
      <c r="AK40" s="81"/>
      <c r="AL40" s="81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  <c r="BA40" s="81"/>
      <c r="BB40" s="81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1"/>
      <c r="CF40" s="81"/>
      <c r="CG40" s="81"/>
      <c r="CH40" s="81"/>
      <c r="CI40" s="81"/>
      <c r="CJ40" s="81"/>
      <c r="CK40" s="81"/>
      <c r="CL40" s="81"/>
      <c r="CM40" s="81"/>
      <c r="CN40" s="81"/>
      <c r="CO40" s="81"/>
      <c r="CP40" s="81"/>
      <c r="CQ40" s="81"/>
      <c r="CR40" s="81"/>
      <c r="CS40" s="81"/>
      <c r="CT40" s="81"/>
      <c r="CU40" s="81"/>
      <c r="CV40" s="81"/>
      <c r="CW40" s="81"/>
      <c r="CX40" s="81"/>
      <c r="CY40" s="81"/>
      <c r="CZ40" s="81"/>
      <c r="DA40" s="81"/>
      <c r="DB40" s="81"/>
      <c r="DC40" s="81"/>
      <c r="DD40" s="81"/>
      <c r="DE40" s="81"/>
      <c r="DF40" s="81"/>
      <c r="DG40" s="81"/>
      <c r="DH40" s="81"/>
      <c r="DI40" s="81"/>
      <c r="DJ40" s="81"/>
      <c r="DK40" s="81"/>
      <c r="DL40" s="81"/>
      <c r="DM40" s="81"/>
      <c r="DN40" s="81"/>
      <c r="DO40" s="81"/>
      <c r="DP40" s="81"/>
      <c r="DQ40" s="81"/>
      <c r="DR40" s="81"/>
      <c r="DS40" s="81"/>
      <c r="DT40" s="81"/>
      <c r="DU40" s="81"/>
      <c r="DV40" s="81"/>
      <c r="DW40" s="81"/>
      <c r="DX40" s="81"/>
      <c r="DY40" s="81"/>
      <c r="DZ40" s="81"/>
      <c r="EA40" s="81"/>
      <c r="EB40" s="81"/>
    </row>
    <row r="41" spans="2:132" ht="17.100000000000001" customHeight="1">
      <c r="B41" s="58">
        <v>4</v>
      </c>
      <c r="C41" s="58" t="s">
        <v>658</v>
      </c>
      <c r="D41" s="59"/>
      <c r="E41" s="60"/>
      <c r="F41" s="60"/>
      <c r="G41" s="60" t="s">
        <v>857</v>
      </c>
      <c r="H41" s="62"/>
      <c r="I41" s="145" t="s">
        <v>836</v>
      </c>
      <c r="J41" s="145" t="s">
        <v>836</v>
      </c>
      <c r="K41" s="61"/>
      <c r="L41" s="145"/>
      <c r="M41" s="123"/>
      <c r="N41" s="61"/>
      <c r="O41" s="145" t="s">
        <v>836</v>
      </c>
      <c r="P41" s="61"/>
      <c r="Q41" s="61"/>
      <c r="R41" s="61"/>
      <c r="S41" s="61"/>
      <c r="T41" s="61"/>
      <c r="U41" s="61"/>
      <c r="V41" s="63"/>
      <c r="W41" s="64">
        <v>45166</v>
      </c>
      <c r="X41" s="61">
        <v>3</v>
      </c>
      <c r="Y41" s="140">
        <f t="shared" ref="Y41:Y46" si="34">IF(AND(W41="",X41="")=TRUE,"",WORKDAY(W41,X41-1,Holidays))</f>
        <v>45168</v>
      </c>
      <c r="Z41" s="64"/>
      <c r="AA41" s="126" t="str">
        <f t="shared" ca="1" si="25"/>
        <v/>
      </c>
      <c r="AB41" s="65"/>
      <c r="AC41" s="66">
        <v>0</v>
      </c>
      <c r="AD41" s="125" t="str">
        <f t="shared" si="26"/>
        <v>Open</v>
      </c>
      <c r="AE41" s="150"/>
      <c r="AF41" s="80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  <c r="BA41" s="81"/>
      <c r="BB41" s="81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1"/>
      <c r="CF41" s="81"/>
      <c r="CG41" s="81"/>
      <c r="CH41" s="81"/>
      <c r="CI41" s="81"/>
      <c r="CJ41" s="81"/>
      <c r="CK41" s="81"/>
      <c r="CL41" s="81"/>
      <c r="CM41" s="81"/>
      <c r="CN41" s="81"/>
      <c r="CO41" s="81"/>
      <c r="CP41" s="81"/>
      <c r="CQ41" s="81"/>
      <c r="CR41" s="81"/>
      <c r="CS41" s="81"/>
      <c r="CT41" s="81"/>
      <c r="CU41" s="81"/>
      <c r="CV41" s="81"/>
      <c r="CW41" s="81"/>
      <c r="CX41" s="81"/>
      <c r="CY41" s="81"/>
      <c r="CZ41" s="81"/>
      <c r="DA41" s="81"/>
      <c r="DB41" s="81"/>
      <c r="DC41" s="81"/>
      <c r="DD41" s="81"/>
      <c r="DE41" s="81"/>
      <c r="DF41" s="81"/>
      <c r="DG41" s="81"/>
      <c r="DH41" s="81"/>
      <c r="DI41" s="81"/>
      <c r="DJ41" s="81"/>
      <c r="DK41" s="81"/>
      <c r="DL41" s="81"/>
      <c r="DM41" s="81"/>
      <c r="DN41" s="81"/>
      <c r="DO41" s="81"/>
      <c r="DP41" s="81"/>
      <c r="DQ41" s="81"/>
      <c r="DR41" s="81"/>
      <c r="DS41" s="81"/>
      <c r="DT41" s="81"/>
      <c r="DU41" s="81"/>
      <c r="DV41" s="81"/>
      <c r="DW41" s="81"/>
      <c r="DX41" s="81"/>
      <c r="DY41" s="81"/>
      <c r="DZ41" s="81"/>
      <c r="EA41" s="81"/>
      <c r="EB41" s="81"/>
    </row>
    <row r="42" spans="2:132" ht="17.100000000000001" customHeight="1">
      <c r="B42" s="58">
        <v>4</v>
      </c>
      <c r="C42" s="58" t="s">
        <v>658</v>
      </c>
      <c r="D42" s="59"/>
      <c r="E42" s="60"/>
      <c r="F42" s="60"/>
      <c r="G42" s="60" t="s">
        <v>858</v>
      </c>
      <c r="H42" s="62"/>
      <c r="I42" s="145" t="s">
        <v>836</v>
      </c>
      <c r="J42" s="145" t="s">
        <v>836</v>
      </c>
      <c r="K42" s="61"/>
      <c r="L42" s="145"/>
      <c r="M42" s="123"/>
      <c r="N42" s="61"/>
      <c r="O42" s="145" t="s">
        <v>836</v>
      </c>
      <c r="P42" s="61"/>
      <c r="Q42" s="61"/>
      <c r="R42" s="61"/>
      <c r="S42" s="61"/>
      <c r="T42" s="61"/>
      <c r="U42" s="61"/>
      <c r="V42" s="63"/>
      <c r="W42" s="64">
        <v>45169</v>
      </c>
      <c r="X42" s="61">
        <v>4</v>
      </c>
      <c r="Y42" s="140">
        <f t="shared" si="34"/>
        <v>45174</v>
      </c>
      <c r="Z42" s="64"/>
      <c r="AA42" s="126" t="str">
        <f t="shared" ca="1" si="25"/>
        <v/>
      </c>
      <c r="AB42" s="65"/>
      <c r="AC42" s="66">
        <v>0</v>
      </c>
      <c r="AD42" s="125" t="str">
        <f t="shared" si="26"/>
        <v>Open</v>
      </c>
      <c r="AE42" s="150"/>
      <c r="AF42" s="80"/>
      <c r="AG42" s="81"/>
      <c r="AH42" s="81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  <c r="BA42" s="81"/>
      <c r="BB42" s="81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1"/>
      <c r="CF42" s="81"/>
      <c r="CG42" s="81"/>
      <c r="CH42" s="81"/>
      <c r="CI42" s="81"/>
      <c r="CJ42" s="81"/>
      <c r="CK42" s="81"/>
      <c r="CL42" s="81"/>
      <c r="CM42" s="81"/>
      <c r="CN42" s="81"/>
      <c r="CO42" s="81"/>
      <c r="CP42" s="81"/>
      <c r="CQ42" s="81"/>
      <c r="CR42" s="81"/>
      <c r="CS42" s="81"/>
      <c r="CT42" s="81"/>
      <c r="CU42" s="81"/>
      <c r="CV42" s="81"/>
      <c r="CW42" s="81"/>
      <c r="CX42" s="81"/>
      <c r="CY42" s="81"/>
      <c r="CZ42" s="81"/>
      <c r="DA42" s="81"/>
      <c r="DB42" s="81"/>
      <c r="DC42" s="81"/>
      <c r="DD42" s="81"/>
      <c r="DE42" s="81"/>
      <c r="DF42" s="81"/>
      <c r="DG42" s="81"/>
      <c r="DH42" s="81"/>
      <c r="DI42" s="81"/>
      <c r="DJ42" s="81"/>
      <c r="DK42" s="81"/>
      <c r="DL42" s="81"/>
      <c r="DM42" s="81"/>
      <c r="DN42" s="81"/>
      <c r="DO42" s="81"/>
      <c r="DP42" s="81"/>
      <c r="DQ42" s="81"/>
      <c r="DR42" s="81"/>
      <c r="DS42" s="81"/>
      <c r="DT42" s="81"/>
      <c r="DU42" s="81"/>
      <c r="DV42" s="81"/>
      <c r="DW42" s="81"/>
      <c r="DX42" s="81"/>
      <c r="DY42" s="81"/>
      <c r="DZ42" s="81"/>
      <c r="EA42" s="81"/>
      <c r="EB42" s="81"/>
    </row>
    <row r="43" spans="2:132" ht="17.100000000000001" customHeight="1">
      <c r="B43" s="58">
        <v>4</v>
      </c>
      <c r="C43" s="58" t="s">
        <v>658</v>
      </c>
      <c r="D43" s="59"/>
      <c r="E43" s="60"/>
      <c r="F43" s="60"/>
      <c r="G43" s="60" t="s">
        <v>859</v>
      </c>
      <c r="H43" s="62"/>
      <c r="I43" s="145" t="s">
        <v>836</v>
      </c>
      <c r="J43" s="145" t="s">
        <v>836</v>
      </c>
      <c r="K43" s="61"/>
      <c r="L43" s="145"/>
      <c r="M43" s="123"/>
      <c r="N43" s="61"/>
      <c r="O43" s="145" t="s">
        <v>836</v>
      </c>
      <c r="P43" s="61"/>
      <c r="Q43" s="61"/>
      <c r="R43" s="61"/>
      <c r="S43" s="61"/>
      <c r="T43" s="61"/>
      <c r="U43" s="61"/>
      <c r="V43" s="63"/>
      <c r="W43" s="64">
        <v>45175</v>
      </c>
      <c r="X43" s="61">
        <v>4</v>
      </c>
      <c r="Y43" s="140">
        <f t="shared" si="34"/>
        <v>45180</v>
      </c>
      <c r="Z43" s="64"/>
      <c r="AA43" s="126" t="str">
        <f t="shared" ca="1" si="25"/>
        <v/>
      </c>
      <c r="AB43" s="65"/>
      <c r="AC43" s="66">
        <v>0</v>
      </c>
      <c r="AD43" s="125" t="str">
        <f t="shared" si="26"/>
        <v>Open</v>
      </c>
      <c r="AE43" s="150"/>
      <c r="AF43" s="80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  <c r="BA43" s="81"/>
      <c r="BB43" s="81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F43" s="81"/>
      <c r="CG43" s="81"/>
      <c r="CH43" s="81"/>
      <c r="CI43" s="81"/>
      <c r="CJ43" s="81"/>
      <c r="CK43" s="81"/>
      <c r="CL43" s="81"/>
      <c r="CM43" s="81"/>
      <c r="CN43" s="81"/>
      <c r="CO43" s="81"/>
      <c r="CP43" s="81"/>
      <c r="CQ43" s="81"/>
      <c r="CR43" s="81"/>
      <c r="CS43" s="81"/>
      <c r="CT43" s="81"/>
      <c r="CU43" s="81"/>
      <c r="CV43" s="81"/>
      <c r="CW43" s="81"/>
      <c r="CX43" s="81"/>
      <c r="CY43" s="81"/>
      <c r="CZ43" s="81"/>
      <c r="DA43" s="81"/>
      <c r="DB43" s="81"/>
      <c r="DC43" s="81"/>
      <c r="DD43" s="81"/>
      <c r="DE43" s="81"/>
      <c r="DF43" s="81"/>
      <c r="DG43" s="81"/>
      <c r="DH43" s="81"/>
      <c r="DI43" s="81"/>
      <c r="DJ43" s="81"/>
      <c r="DK43" s="81"/>
      <c r="DL43" s="81"/>
      <c r="DM43" s="81"/>
      <c r="DN43" s="81"/>
      <c r="DO43" s="81"/>
      <c r="DP43" s="81"/>
      <c r="DQ43" s="81"/>
      <c r="DR43" s="81"/>
      <c r="DS43" s="81"/>
      <c r="DT43" s="81"/>
      <c r="DU43" s="81"/>
      <c r="DV43" s="81"/>
      <c r="DW43" s="81"/>
      <c r="DX43" s="81"/>
      <c r="DY43" s="81"/>
      <c r="DZ43" s="81"/>
      <c r="EA43" s="81"/>
      <c r="EB43" s="81"/>
    </row>
    <row r="44" spans="2:132" ht="17.100000000000001" customHeight="1">
      <c r="B44" s="58">
        <v>4</v>
      </c>
      <c r="C44" s="58" t="s">
        <v>658</v>
      </c>
      <c r="D44" s="59"/>
      <c r="E44" s="60"/>
      <c r="F44" s="60"/>
      <c r="G44" s="60" t="s">
        <v>860</v>
      </c>
      <c r="H44" s="62"/>
      <c r="I44" s="145" t="s">
        <v>836</v>
      </c>
      <c r="J44" s="145" t="s">
        <v>836</v>
      </c>
      <c r="K44" s="61"/>
      <c r="L44" s="145"/>
      <c r="M44" s="123"/>
      <c r="N44" s="61"/>
      <c r="O44" s="145" t="s">
        <v>836</v>
      </c>
      <c r="P44" s="61"/>
      <c r="Q44" s="61"/>
      <c r="R44" s="61"/>
      <c r="S44" s="61"/>
      <c r="T44" s="61"/>
      <c r="U44" s="61"/>
      <c r="V44" s="63"/>
      <c r="W44" s="64">
        <v>45181</v>
      </c>
      <c r="X44" s="61">
        <v>3</v>
      </c>
      <c r="Y44" s="140">
        <f t="shared" si="34"/>
        <v>45183</v>
      </c>
      <c r="Z44" s="64"/>
      <c r="AA44" s="126" t="str">
        <f t="shared" ca="1" si="25"/>
        <v/>
      </c>
      <c r="AB44" s="65"/>
      <c r="AC44" s="66">
        <v>0</v>
      </c>
      <c r="AD44" s="125" t="str">
        <f t="shared" si="26"/>
        <v>Open</v>
      </c>
      <c r="AE44" s="150"/>
      <c r="AF44" s="80"/>
      <c r="AG44" s="81"/>
      <c r="AH44" s="81"/>
      <c r="AI44" s="81"/>
      <c r="AJ44" s="81"/>
      <c r="AK44" s="81"/>
      <c r="AL44" s="81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  <c r="BA44" s="81"/>
      <c r="BB44" s="81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/>
      <c r="CG44" s="81"/>
      <c r="CH44" s="81"/>
      <c r="CI44" s="81"/>
      <c r="CJ44" s="81"/>
      <c r="CK44" s="81"/>
      <c r="CL44" s="81"/>
      <c r="CM44" s="81"/>
      <c r="CN44" s="81"/>
      <c r="CO44" s="81"/>
      <c r="CP44" s="81"/>
      <c r="CQ44" s="81"/>
      <c r="CR44" s="81"/>
      <c r="CS44" s="81"/>
      <c r="CT44" s="81"/>
      <c r="CU44" s="81"/>
      <c r="CV44" s="81"/>
      <c r="CW44" s="81"/>
      <c r="CX44" s="81"/>
      <c r="CY44" s="81"/>
      <c r="CZ44" s="81"/>
      <c r="DA44" s="81"/>
      <c r="DB44" s="81"/>
      <c r="DC44" s="81"/>
      <c r="DD44" s="81"/>
      <c r="DE44" s="81"/>
      <c r="DF44" s="81"/>
      <c r="DG44" s="81"/>
      <c r="DH44" s="81"/>
      <c r="DI44" s="81"/>
      <c r="DJ44" s="81"/>
      <c r="DK44" s="81"/>
      <c r="DL44" s="81"/>
      <c r="DM44" s="81"/>
      <c r="DN44" s="81"/>
      <c r="DO44" s="81"/>
      <c r="DP44" s="81"/>
      <c r="DQ44" s="81"/>
      <c r="DR44" s="81"/>
      <c r="DS44" s="81"/>
      <c r="DT44" s="81"/>
      <c r="DU44" s="81"/>
      <c r="DV44" s="81"/>
      <c r="DW44" s="81"/>
      <c r="DX44" s="81"/>
      <c r="DY44" s="81"/>
      <c r="DZ44" s="81"/>
      <c r="EA44" s="81"/>
      <c r="EB44" s="81"/>
    </row>
    <row r="45" spans="2:132" ht="17.100000000000001" customHeight="1">
      <c r="B45" s="58">
        <v>4</v>
      </c>
      <c r="C45" s="58" t="s">
        <v>658</v>
      </c>
      <c r="D45" s="59"/>
      <c r="E45" s="60"/>
      <c r="F45" s="60"/>
      <c r="G45" s="60" t="s">
        <v>861</v>
      </c>
      <c r="H45" s="62"/>
      <c r="I45" s="145" t="s">
        <v>836</v>
      </c>
      <c r="J45" s="145" t="s">
        <v>836</v>
      </c>
      <c r="K45" s="61"/>
      <c r="L45" s="145"/>
      <c r="M45" s="123"/>
      <c r="N45" s="61"/>
      <c r="O45" s="145" t="s">
        <v>836</v>
      </c>
      <c r="P45" s="61"/>
      <c r="Q45" s="61"/>
      <c r="R45" s="61"/>
      <c r="S45" s="61"/>
      <c r="T45" s="61"/>
      <c r="U45" s="61"/>
      <c r="V45" s="63"/>
      <c r="W45" s="64">
        <v>45181</v>
      </c>
      <c r="X45" s="61">
        <v>3</v>
      </c>
      <c r="Y45" s="140">
        <f t="shared" si="34"/>
        <v>45183</v>
      </c>
      <c r="Z45" s="64"/>
      <c r="AA45" s="126" t="str">
        <f t="shared" ref="AA45:AA48" ca="1" si="35">IF(AND(Z45="",AB45="")=TRUE,"",IF(AND(Z45&gt;0,AB45="")=TRUE,NETWORKDAYS(Z45,TODAY(),Holidays),NETWORKDAYS(Z45,AB45,Holidays)))</f>
        <v/>
      </c>
      <c r="AB45" s="65"/>
      <c r="AC45" s="66">
        <v>0</v>
      </c>
      <c r="AD45" s="125" t="str">
        <f t="shared" ref="AD45:AD49" si="36">IF(AC45=100%,"Completed",IF(AND(AC45&lt;100%,AC45&gt;0%)=TRUE,"In-Progress","Open"))</f>
        <v>Open</v>
      </c>
      <c r="AE45" s="150"/>
      <c r="AF45" s="80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  <c r="BA45" s="81"/>
      <c r="BB45" s="81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1"/>
      <c r="CI45" s="81"/>
      <c r="CJ45" s="81"/>
      <c r="CK45" s="81"/>
      <c r="CL45" s="81"/>
      <c r="CM45" s="81"/>
      <c r="CN45" s="81"/>
      <c r="CO45" s="81"/>
      <c r="CP45" s="81"/>
      <c r="CQ45" s="81"/>
      <c r="CR45" s="81"/>
      <c r="CS45" s="81"/>
      <c r="CT45" s="81"/>
      <c r="CU45" s="81"/>
      <c r="CV45" s="81"/>
      <c r="CW45" s="81"/>
      <c r="CX45" s="81"/>
      <c r="CY45" s="81"/>
      <c r="CZ45" s="81"/>
      <c r="DA45" s="81"/>
      <c r="DB45" s="81"/>
      <c r="DC45" s="81"/>
      <c r="DD45" s="81"/>
      <c r="DE45" s="81"/>
      <c r="DF45" s="81"/>
      <c r="DG45" s="81"/>
      <c r="DH45" s="81"/>
      <c r="DI45" s="81"/>
      <c r="DJ45" s="81"/>
      <c r="DK45" s="81"/>
      <c r="DL45" s="81"/>
      <c r="DM45" s="81"/>
      <c r="DN45" s="81"/>
      <c r="DO45" s="81"/>
      <c r="DP45" s="81"/>
      <c r="DQ45" s="81"/>
      <c r="DR45" s="81"/>
      <c r="DS45" s="81"/>
      <c r="DT45" s="81"/>
      <c r="DU45" s="81"/>
      <c r="DV45" s="81"/>
      <c r="DW45" s="81"/>
      <c r="DX45" s="81"/>
      <c r="DY45" s="81"/>
      <c r="DZ45" s="81"/>
      <c r="EA45" s="81"/>
      <c r="EB45" s="81"/>
    </row>
    <row r="46" spans="2:132" ht="17.100000000000001" customHeight="1">
      <c r="B46" s="58">
        <v>4</v>
      </c>
      <c r="C46" s="58" t="s">
        <v>658</v>
      </c>
      <c r="D46" s="59"/>
      <c r="E46" s="60"/>
      <c r="F46" s="60"/>
      <c r="G46" s="60" t="s">
        <v>862</v>
      </c>
      <c r="H46" s="62"/>
      <c r="I46" s="145" t="s">
        <v>836</v>
      </c>
      <c r="J46" s="145" t="s">
        <v>836</v>
      </c>
      <c r="K46" s="61"/>
      <c r="L46" s="145"/>
      <c r="M46" s="123"/>
      <c r="N46" s="61"/>
      <c r="O46" s="145" t="s">
        <v>836</v>
      </c>
      <c r="P46" s="61"/>
      <c r="Q46" s="61"/>
      <c r="R46" s="61"/>
      <c r="S46" s="61"/>
      <c r="T46" s="61"/>
      <c r="U46" s="61"/>
      <c r="V46" s="63"/>
      <c r="W46" s="64">
        <v>45181</v>
      </c>
      <c r="X46" s="61">
        <v>3</v>
      </c>
      <c r="Y46" s="140">
        <f t="shared" si="34"/>
        <v>45183</v>
      </c>
      <c r="Z46" s="64"/>
      <c r="AA46" s="126" t="str">
        <f t="shared" ca="1" si="35"/>
        <v/>
      </c>
      <c r="AB46" s="65"/>
      <c r="AC46" s="66">
        <v>0</v>
      </c>
      <c r="AD46" s="125" t="str">
        <f t="shared" si="36"/>
        <v>Open</v>
      </c>
      <c r="AE46" s="150"/>
      <c r="AF46" s="80"/>
      <c r="AG46" s="81"/>
      <c r="AH46" s="81"/>
      <c r="AI46" s="81"/>
      <c r="AJ46" s="81"/>
      <c r="AK46" s="81"/>
      <c r="AL46" s="81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  <c r="BA46" s="81"/>
      <c r="BB46" s="81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81"/>
      <c r="CF46" s="81"/>
      <c r="CG46" s="81"/>
      <c r="CH46" s="81"/>
      <c r="CI46" s="81"/>
      <c r="CJ46" s="81"/>
      <c r="CK46" s="81"/>
      <c r="CL46" s="81"/>
      <c r="CM46" s="81"/>
      <c r="CN46" s="81"/>
      <c r="CO46" s="81"/>
      <c r="CP46" s="81"/>
      <c r="CQ46" s="81"/>
      <c r="CR46" s="81"/>
      <c r="CS46" s="81"/>
      <c r="CT46" s="81"/>
      <c r="CU46" s="81"/>
      <c r="CV46" s="81"/>
      <c r="CW46" s="81"/>
      <c r="CX46" s="81"/>
      <c r="CY46" s="81"/>
      <c r="CZ46" s="81"/>
      <c r="DA46" s="81"/>
      <c r="DB46" s="81"/>
      <c r="DC46" s="81"/>
      <c r="DD46" s="81"/>
      <c r="DE46" s="81"/>
      <c r="DF46" s="81"/>
      <c r="DG46" s="81"/>
      <c r="DH46" s="81"/>
      <c r="DI46" s="81"/>
      <c r="DJ46" s="81"/>
      <c r="DK46" s="81"/>
      <c r="DL46" s="81"/>
      <c r="DM46" s="81"/>
      <c r="DN46" s="81"/>
      <c r="DO46" s="81"/>
      <c r="DP46" s="81"/>
      <c r="DQ46" s="81"/>
      <c r="DR46" s="81"/>
      <c r="DS46" s="81"/>
      <c r="DT46" s="81"/>
      <c r="DU46" s="81"/>
      <c r="DV46" s="81"/>
      <c r="DW46" s="81"/>
      <c r="DX46" s="81"/>
      <c r="DY46" s="81"/>
      <c r="DZ46" s="81"/>
      <c r="EA46" s="81"/>
      <c r="EB46" s="81"/>
    </row>
    <row r="47" spans="2:132" ht="17.100000000000001" customHeight="1">
      <c r="B47" s="92">
        <v>3</v>
      </c>
      <c r="C47" s="92" t="s">
        <v>655</v>
      </c>
      <c r="D47" s="93"/>
      <c r="E47" s="94"/>
      <c r="F47" s="94" t="s">
        <v>863</v>
      </c>
      <c r="G47" s="94"/>
      <c r="H47" s="95"/>
      <c r="I47" s="118" t="str">
        <f>IF(COUNTIF(I48:I50,"●")&gt;0,"●","")</f>
        <v/>
      </c>
      <c r="J47" s="91" t="str">
        <f t="shared" ref="J47:L47" si="37">IF(COUNTIF(J48:J50,"●")&gt;0,"●","")</f>
        <v/>
      </c>
      <c r="K47" s="91" t="str">
        <f t="shared" ref="K47" si="38">IF(COUNTIF(K48:K50,"●")&gt;0,"●","")</f>
        <v/>
      </c>
      <c r="L47" s="144" t="str">
        <f t="shared" si="37"/>
        <v/>
      </c>
      <c r="M47" s="118" t="str">
        <f>IF(COUNTIF(M48:M50,"●")&gt;0,"●","")</f>
        <v/>
      </c>
      <c r="N47" s="91" t="str">
        <f t="shared" ref="N47:V47" si="39">IF(COUNTIF(N48:N50,"●")&gt;0,"●","")</f>
        <v/>
      </c>
      <c r="O47" s="144" t="str">
        <f t="shared" si="39"/>
        <v>●</v>
      </c>
      <c r="P47" s="144" t="str">
        <f t="shared" si="39"/>
        <v/>
      </c>
      <c r="Q47" s="144" t="str">
        <f t="shared" si="39"/>
        <v/>
      </c>
      <c r="R47" s="144" t="str">
        <f t="shared" si="39"/>
        <v/>
      </c>
      <c r="S47" s="144" t="str">
        <f t="shared" si="39"/>
        <v/>
      </c>
      <c r="T47" s="144" t="str">
        <f t="shared" si="39"/>
        <v/>
      </c>
      <c r="U47" s="144" t="str">
        <f t="shared" si="39"/>
        <v/>
      </c>
      <c r="V47" s="144" t="str">
        <f t="shared" si="39"/>
        <v/>
      </c>
      <c r="W47" s="96">
        <f>IF(MIN(W48:W50)=0,"",MIN(W48:W50))</f>
        <v>45184</v>
      </c>
      <c r="X47" s="97">
        <f ca="1">IF(AND(W47="",Y47="")=TRUE,"",IF(AND(W47&gt;0,Y47="")=TRUE,NETWORKDAYS(W47,TODAY(),Holidays),NETWORKDAYS(W47,Y47,Holidays)))</f>
        <v>8</v>
      </c>
      <c r="Y47" s="138">
        <f>IF(MAX(Y48:Y50)=0,"",MAX(Y48:Y50))</f>
        <v>45195</v>
      </c>
      <c r="Z47" s="96" t="str">
        <f>IF(MIN(Z48:Z50)=0,"",MIN(Z48:Z50))</f>
        <v/>
      </c>
      <c r="AA47" s="97" t="str">
        <f t="shared" ca="1" si="35"/>
        <v/>
      </c>
      <c r="AB47" s="98" t="str">
        <f>IF(MAX(AB48:AB50)=0,"",MAX(AB48:AB50))</f>
        <v/>
      </c>
      <c r="AC47" s="99">
        <f>IFERROR(AVERAGE(AC48:AC50),"")</f>
        <v>0</v>
      </c>
      <c r="AD47" s="100" t="str">
        <f t="shared" si="36"/>
        <v>Open</v>
      </c>
      <c r="AE47" s="101"/>
      <c r="AF47" s="80"/>
      <c r="AG47" s="81"/>
      <c r="AH47" s="81"/>
      <c r="AI47" s="81"/>
      <c r="AJ47" s="81"/>
      <c r="AK47" s="81"/>
      <c r="AL47" s="81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  <c r="BA47" s="81"/>
      <c r="BB47" s="81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81"/>
      <c r="CF47" s="81"/>
      <c r="CG47" s="81"/>
      <c r="CH47" s="81"/>
      <c r="CI47" s="81"/>
      <c r="CJ47" s="81"/>
      <c r="CK47" s="81"/>
      <c r="CL47" s="81"/>
      <c r="CM47" s="81"/>
      <c r="CN47" s="81"/>
      <c r="CO47" s="81"/>
      <c r="CP47" s="81"/>
      <c r="CQ47" s="81"/>
      <c r="CR47" s="81"/>
      <c r="CS47" s="81"/>
      <c r="CT47" s="81"/>
      <c r="CU47" s="81"/>
      <c r="CV47" s="81"/>
      <c r="CW47" s="81"/>
      <c r="CX47" s="81"/>
      <c r="CY47" s="81"/>
      <c r="CZ47" s="81"/>
      <c r="DA47" s="81"/>
      <c r="DB47" s="81"/>
      <c r="DC47" s="81"/>
      <c r="DD47" s="81"/>
      <c r="DE47" s="81"/>
      <c r="DF47" s="81"/>
      <c r="DG47" s="81"/>
      <c r="DH47" s="81"/>
      <c r="DI47" s="81"/>
      <c r="DJ47" s="81"/>
      <c r="DK47" s="81"/>
      <c r="DL47" s="81"/>
      <c r="DM47" s="81"/>
      <c r="DN47" s="81"/>
      <c r="DO47" s="81"/>
      <c r="DP47" s="81"/>
      <c r="DQ47" s="81"/>
      <c r="DR47" s="81"/>
      <c r="DS47" s="81"/>
      <c r="DT47" s="81"/>
      <c r="DU47" s="81"/>
      <c r="DV47" s="81"/>
      <c r="DW47" s="81"/>
      <c r="DX47" s="81"/>
      <c r="DY47" s="81"/>
      <c r="DZ47" s="81"/>
      <c r="EA47" s="81"/>
      <c r="EB47" s="81"/>
    </row>
    <row r="48" spans="2:132" ht="17.100000000000001" customHeight="1">
      <c r="B48" s="58">
        <v>4</v>
      </c>
      <c r="C48" s="58" t="s">
        <v>658</v>
      </c>
      <c r="D48" s="59"/>
      <c r="E48" s="60"/>
      <c r="F48" s="60"/>
      <c r="G48" s="60" t="s">
        <v>864</v>
      </c>
      <c r="H48" s="62"/>
      <c r="I48" s="145"/>
      <c r="J48" s="61"/>
      <c r="K48" s="61"/>
      <c r="L48" s="145"/>
      <c r="M48" s="123"/>
      <c r="N48" s="61"/>
      <c r="O48" s="145" t="s">
        <v>836</v>
      </c>
      <c r="P48" s="61"/>
      <c r="Q48" s="61"/>
      <c r="R48" s="61"/>
      <c r="S48" s="61"/>
      <c r="T48" s="61"/>
      <c r="U48" s="61"/>
      <c r="V48" s="63"/>
      <c r="W48" s="64">
        <v>45184</v>
      </c>
      <c r="X48" s="61">
        <v>2</v>
      </c>
      <c r="Y48" s="140">
        <f t="shared" ref="Y48:Y49" si="40">IF(AND(W48="",X48="")=TRUE,"",WORKDAY(W48,X48-1,Holidays))</f>
        <v>45187</v>
      </c>
      <c r="Z48" s="64"/>
      <c r="AA48" s="126" t="str">
        <f t="shared" ca="1" si="35"/>
        <v/>
      </c>
      <c r="AB48" s="65"/>
      <c r="AC48" s="66">
        <v>0</v>
      </c>
      <c r="AD48" s="125" t="str">
        <f t="shared" si="36"/>
        <v>Open</v>
      </c>
      <c r="AE48" s="150"/>
      <c r="AF48" s="80"/>
      <c r="AG48" s="81"/>
      <c r="AH48" s="81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  <c r="BA48" s="81"/>
      <c r="BB48" s="81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F48" s="81"/>
      <c r="CG48" s="81"/>
      <c r="CH48" s="81"/>
      <c r="CI48" s="81"/>
      <c r="CJ48" s="81"/>
      <c r="CK48" s="81"/>
      <c r="CL48" s="81"/>
      <c r="CM48" s="81"/>
      <c r="CN48" s="81"/>
      <c r="CO48" s="81"/>
      <c r="CP48" s="81"/>
      <c r="CQ48" s="81"/>
      <c r="CR48" s="81"/>
      <c r="CS48" s="81"/>
      <c r="CT48" s="81"/>
      <c r="CU48" s="81"/>
      <c r="CV48" s="81"/>
      <c r="CW48" s="81"/>
      <c r="CX48" s="81"/>
      <c r="CY48" s="81"/>
      <c r="CZ48" s="81"/>
      <c r="DA48" s="81"/>
      <c r="DB48" s="81"/>
      <c r="DC48" s="81"/>
      <c r="DD48" s="81"/>
      <c r="DE48" s="81"/>
      <c r="DF48" s="81"/>
      <c r="DG48" s="81"/>
      <c r="DH48" s="81"/>
      <c r="DI48" s="81"/>
      <c r="DJ48" s="81"/>
      <c r="DK48" s="81"/>
      <c r="DL48" s="81"/>
      <c r="DM48" s="81"/>
      <c r="DN48" s="81"/>
      <c r="DO48" s="81"/>
      <c r="DP48" s="81"/>
      <c r="DQ48" s="81"/>
      <c r="DR48" s="81"/>
      <c r="DS48" s="81"/>
      <c r="DT48" s="81"/>
      <c r="DU48" s="81"/>
      <c r="DV48" s="81"/>
      <c r="DW48" s="81"/>
      <c r="DX48" s="81"/>
      <c r="DY48" s="81"/>
      <c r="DZ48" s="81"/>
      <c r="EA48" s="81"/>
      <c r="EB48" s="81"/>
    </row>
    <row r="49" spans="2:132" ht="17.100000000000001" customHeight="1">
      <c r="B49" s="58">
        <v>4</v>
      </c>
      <c r="C49" s="58" t="s">
        <v>658</v>
      </c>
      <c r="D49" s="59"/>
      <c r="E49" s="60"/>
      <c r="F49" s="60"/>
      <c r="G49" s="60" t="s">
        <v>865</v>
      </c>
      <c r="H49" s="62"/>
      <c r="I49" s="145"/>
      <c r="J49" s="61"/>
      <c r="K49" s="61"/>
      <c r="L49" s="145"/>
      <c r="M49" s="123"/>
      <c r="N49" s="61"/>
      <c r="O49" s="145" t="s">
        <v>836</v>
      </c>
      <c r="P49" s="61"/>
      <c r="Q49" s="61"/>
      <c r="R49" s="61"/>
      <c r="S49" s="61"/>
      <c r="T49" s="61"/>
      <c r="U49" s="61"/>
      <c r="V49" s="63"/>
      <c r="W49" s="64">
        <v>45188</v>
      </c>
      <c r="X49" s="61">
        <v>3</v>
      </c>
      <c r="Y49" s="140">
        <f t="shared" si="40"/>
        <v>45190</v>
      </c>
      <c r="Z49" s="64"/>
      <c r="AA49" s="126"/>
      <c r="AB49" s="65"/>
      <c r="AC49" s="66">
        <v>0</v>
      </c>
      <c r="AD49" s="125" t="str">
        <f t="shared" si="36"/>
        <v>Open</v>
      </c>
      <c r="AE49" s="150"/>
      <c r="AF49" s="80"/>
      <c r="AG49" s="81"/>
      <c r="AH49" s="81"/>
      <c r="AI49" s="81"/>
      <c r="AJ49" s="81"/>
      <c r="AK49" s="81"/>
      <c r="AL49" s="81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  <c r="BA49" s="81"/>
      <c r="BB49" s="81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81"/>
      <c r="CF49" s="81"/>
      <c r="CG49" s="81"/>
      <c r="CH49" s="81"/>
      <c r="CI49" s="81"/>
      <c r="CJ49" s="81"/>
      <c r="CK49" s="81"/>
      <c r="CL49" s="81"/>
      <c r="CM49" s="81"/>
      <c r="CN49" s="81"/>
      <c r="CO49" s="81"/>
      <c r="CP49" s="81"/>
      <c r="CQ49" s="81"/>
      <c r="CR49" s="81"/>
      <c r="CS49" s="81"/>
      <c r="CT49" s="81"/>
      <c r="CU49" s="81"/>
      <c r="CV49" s="81"/>
      <c r="CW49" s="81"/>
      <c r="CX49" s="81"/>
      <c r="CY49" s="81"/>
      <c r="CZ49" s="81"/>
      <c r="DA49" s="81"/>
      <c r="DB49" s="81"/>
      <c r="DC49" s="81"/>
      <c r="DD49" s="81"/>
      <c r="DE49" s="81"/>
      <c r="DF49" s="81"/>
      <c r="DG49" s="81"/>
      <c r="DH49" s="81"/>
      <c r="DI49" s="81"/>
      <c r="DJ49" s="81"/>
      <c r="DK49" s="81"/>
      <c r="DL49" s="81"/>
      <c r="DM49" s="81"/>
      <c r="DN49" s="81"/>
      <c r="DO49" s="81"/>
      <c r="DP49" s="81"/>
      <c r="DQ49" s="81"/>
      <c r="DR49" s="81"/>
      <c r="DS49" s="81"/>
      <c r="DT49" s="81"/>
      <c r="DU49" s="81"/>
      <c r="DV49" s="81"/>
      <c r="DW49" s="81"/>
      <c r="DX49" s="81"/>
      <c r="DY49" s="81"/>
      <c r="DZ49" s="81"/>
      <c r="EA49" s="81"/>
      <c r="EB49" s="81"/>
    </row>
    <row r="50" spans="2:132" ht="17.100000000000001" customHeight="1">
      <c r="B50" s="58">
        <v>4</v>
      </c>
      <c r="C50" s="58" t="s">
        <v>658</v>
      </c>
      <c r="D50" s="59"/>
      <c r="E50" s="60"/>
      <c r="F50" s="60"/>
      <c r="G50" s="60" t="s">
        <v>866</v>
      </c>
      <c r="H50" s="62"/>
      <c r="I50" s="145"/>
      <c r="J50" s="61"/>
      <c r="K50" s="61"/>
      <c r="L50" s="145"/>
      <c r="M50" s="123"/>
      <c r="N50" s="61"/>
      <c r="O50" s="145" t="s">
        <v>836</v>
      </c>
      <c r="P50" s="61"/>
      <c r="Q50" s="61"/>
      <c r="R50" s="61"/>
      <c r="S50" s="61"/>
      <c r="T50" s="61"/>
      <c r="U50" s="61"/>
      <c r="V50" s="63"/>
      <c r="W50" s="64">
        <v>45191</v>
      </c>
      <c r="X50" s="61">
        <v>3</v>
      </c>
      <c r="Y50" s="140">
        <f t="shared" ref="Y50" si="41">IF(AND(W50="",X50="")=TRUE,"",WORKDAY(W50,X50-1,Holidays))</f>
        <v>45195</v>
      </c>
      <c r="Z50" s="64"/>
      <c r="AA50" s="126" t="str">
        <f t="shared" ref="AA50:AA52" ca="1" si="42">IF(AND(Z50="",AB50="")=TRUE,"",IF(AND(Z50&gt;0,AB50="")=TRUE,NETWORKDAYS(Z50,TODAY(),Holidays),NETWORKDAYS(Z50,AB50,Holidays)))</f>
        <v/>
      </c>
      <c r="AB50" s="65"/>
      <c r="AC50" s="66">
        <v>0</v>
      </c>
      <c r="AD50" s="125" t="str">
        <f t="shared" ref="AD50:AD53" si="43">IF(AC50=100%,"Completed",IF(AND(AC50&lt;100%,AC50&gt;0%)=TRUE,"In-Progress","Open"))</f>
        <v>Open</v>
      </c>
      <c r="AE50" s="150"/>
      <c r="AF50" s="80"/>
      <c r="AG50" s="81"/>
      <c r="AH50" s="81"/>
      <c r="AI50" s="81"/>
      <c r="AJ50" s="81"/>
      <c r="AK50" s="81"/>
      <c r="AL50" s="81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  <c r="BA50" s="81"/>
      <c r="BB50" s="81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81"/>
      <c r="CF50" s="81"/>
      <c r="CG50" s="81"/>
      <c r="CH50" s="81"/>
      <c r="CI50" s="81"/>
      <c r="CJ50" s="81"/>
      <c r="CK50" s="81"/>
      <c r="CL50" s="81"/>
      <c r="CM50" s="81"/>
      <c r="CN50" s="81"/>
      <c r="CO50" s="81"/>
      <c r="CP50" s="81"/>
      <c r="CQ50" s="81"/>
      <c r="CR50" s="81"/>
      <c r="CS50" s="81"/>
      <c r="CT50" s="81"/>
      <c r="CU50" s="81"/>
      <c r="CV50" s="81"/>
      <c r="CW50" s="81"/>
      <c r="CX50" s="81"/>
      <c r="CY50" s="81"/>
      <c r="CZ50" s="81"/>
      <c r="DA50" s="81"/>
      <c r="DB50" s="81"/>
      <c r="DC50" s="81"/>
      <c r="DD50" s="81"/>
      <c r="DE50" s="81"/>
      <c r="DF50" s="81"/>
      <c r="DG50" s="81"/>
      <c r="DH50" s="81"/>
      <c r="DI50" s="81"/>
      <c r="DJ50" s="81"/>
      <c r="DK50" s="81"/>
      <c r="DL50" s="81"/>
      <c r="DM50" s="81"/>
      <c r="DN50" s="81"/>
      <c r="DO50" s="81"/>
      <c r="DP50" s="81"/>
      <c r="DQ50" s="81"/>
      <c r="DR50" s="81"/>
      <c r="DS50" s="81"/>
      <c r="DT50" s="81"/>
      <c r="DU50" s="81"/>
      <c r="DV50" s="81"/>
      <c r="DW50" s="81"/>
      <c r="DX50" s="81"/>
      <c r="DY50" s="81"/>
      <c r="DZ50" s="81"/>
      <c r="EA50" s="81"/>
      <c r="EB50" s="81"/>
    </row>
    <row r="51" spans="2:132" ht="17.100000000000001" customHeight="1">
      <c r="B51" s="92">
        <v>3</v>
      </c>
      <c r="C51" s="92" t="s">
        <v>655</v>
      </c>
      <c r="D51" s="93"/>
      <c r="E51" s="94"/>
      <c r="F51" s="94" t="s">
        <v>867</v>
      </c>
      <c r="G51" s="94"/>
      <c r="H51" s="95"/>
      <c r="I51" s="118" t="str">
        <f>IF(COUNTIF(I52:I54,"●")&gt;0,"●","")</f>
        <v>●</v>
      </c>
      <c r="J51" s="91" t="str">
        <f t="shared" ref="J51:L51" si="44">IF(COUNTIF(J52:J54,"●")&gt;0,"●","")</f>
        <v>●</v>
      </c>
      <c r="K51" s="91" t="str">
        <f t="shared" ref="K51" si="45">IF(COUNTIF(K52:K54,"●")&gt;0,"●","")</f>
        <v/>
      </c>
      <c r="L51" s="144" t="str">
        <f t="shared" si="44"/>
        <v/>
      </c>
      <c r="M51" s="118" t="str">
        <f>IF(COUNTIF(M52:M54,"●")&gt;0,"●","")</f>
        <v/>
      </c>
      <c r="N51" s="91" t="str">
        <f t="shared" ref="N51:V51" si="46">IF(COUNTIF(N52:N54,"●")&gt;0,"●","")</f>
        <v/>
      </c>
      <c r="O51" s="144" t="str">
        <f t="shared" si="46"/>
        <v>●</v>
      </c>
      <c r="P51" s="144" t="str">
        <f t="shared" si="46"/>
        <v/>
      </c>
      <c r="Q51" s="144" t="str">
        <f t="shared" si="46"/>
        <v/>
      </c>
      <c r="R51" s="144" t="str">
        <f t="shared" si="46"/>
        <v/>
      </c>
      <c r="S51" s="144" t="str">
        <f t="shared" si="46"/>
        <v/>
      </c>
      <c r="T51" s="144" t="str">
        <f t="shared" si="46"/>
        <v/>
      </c>
      <c r="U51" s="144" t="str">
        <f t="shared" si="46"/>
        <v/>
      </c>
      <c r="V51" s="144" t="str">
        <f t="shared" si="46"/>
        <v/>
      </c>
      <c r="W51" s="96">
        <f>IF(MIN(W52:W54)=0,"",MIN(W52:W54))</f>
        <v>45196</v>
      </c>
      <c r="X51" s="97">
        <f ca="1">IF(AND(W51="",Y51="")=TRUE,"",IF(AND(W51&gt;0,Y51="")=TRUE,NETWORKDAYS(W51,TODAY(),Holidays),NETWORKDAYS(W51,Y51,Holidays)))</f>
        <v>6</v>
      </c>
      <c r="Y51" s="138">
        <f>IF(MAX(Y52:Y54)=0,"",MAX(Y52:Y54))</f>
        <v>45209</v>
      </c>
      <c r="Z51" s="96" t="str">
        <f>IF(MIN(Z52:Z54)=0,"",MIN(Z52:Z54))</f>
        <v/>
      </c>
      <c r="AA51" s="97" t="str">
        <f t="shared" ca="1" si="42"/>
        <v/>
      </c>
      <c r="AB51" s="98" t="str">
        <f>IF(MAX(AB52:AB54)=0,"",MAX(AB52:AB54))</f>
        <v/>
      </c>
      <c r="AC51" s="99">
        <f>IFERROR(AVERAGE(AC52:AC54),"")</f>
        <v>0</v>
      </c>
      <c r="AD51" s="100" t="str">
        <f t="shared" si="43"/>
        <v>Open</v>
      </c>
      <c r="AE51" s="101"/>
      <c r="AF51" s="80"/>
      <c r="AG51" s="81"/>
      <c r="AH51" s="81"/>
      <c r="AI51" s="81"/>
      <c r="AJ51" s="81"/>
      <c r="AK51" s="81"/>
      <c r="AL51" s="81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  <c r="BA51" s="81"/>
      <c r="BB51" s="81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81"/>
      <c r="CF51" s="81"/>
      <c r="CG51" s="81"/>
      <c r="CH51" s="81"/>
      <c r="CI51" s="81"/>
      <c r="CJ51" s="81"/>
      <c r="CK51" s="81"/>
      <c r="CL51" s="81"/>
      <c r="CM51" s="81"/>
      <c r="CN51" s="81"/>
      <c r="CO51" s="81"/>
      <c r="CP51" s="81"/>
      <c r="CQ51" s="81"/>
      <c r="CR51" s="81"/>
      <c r="CS51" s="81"/>
      <c r="CT51" s="81"/>
      <c r="CU51" s="81"/>
      <c r="CV51" s="81"/>
      <c r="CW51" s="81"/>
      <c r="CX51" s="81"/>
      <c r="CY51" s="81"/>
      <c r="CZ51" s="81"/>
      <c r="DA51" s="81"/>
      <c r="DB51" s="81"/>
      <c r="DC51" s="81"/>
      <c r="DD51" s="81"/>
      <c r="DE51" s="81"/>
      <c r="DF51" s="81"/>
      <c r="DG51" s="81"/>
      <c r="DH51" s="81"/>
      <c r="DI51" s="81"/>
      <c r="DJ51" s="81"/>
      <c r="DK51" s="81"/>
      <c r="DL51" s="81"/>
      <c r="DM51" s="81"/>
      <c r="DN51" s="81"/>
      <c r="DO51" s="81"/>
      <c r="DP51" s="81"/>
      <c r="DQ51" s="81"/>
      <c r="DR51" s="81"/>
      <c r="DS51" s="81"/>
      <c r="DT51" s="81"/>
      <c r="DU51" s="81"/>
      <c r="DV51" s="81"/>
      <c r="DW51" s="81"/>
      <c r="DX51" s="81"/>
      <c r="DY51" s="81"/>
      <c r="DZ51" s="81"/>
      <c r="EA51" s="81"/>
      <c r="EB51" s="81"/>
    </row>
    <row r="52" spans="2:132" ht="17.100000000000001" customHeight="1">
      <c r="B52" s="58">
        <v>4</v>
      </c>
      <c r="C52" s="58" t="s">
        <v>658</v>
      </c>
      <c r="D52" s="59"/>
      <c r="E52" s="60"/>
      <c r="F52" s="60"/>
      <c r="G52" s="60" t="s">
        <v>868</v>
      </c>
      <c r="H52" s="62"/>
      <c r="I52" s="145" t="s">
        <v>836</v>
      </c>
      <c r="J52" s="145" t="s">
        <v>836</v>
      </c>
      <c r="K52" s="61"/>
      <c r="L52" s="145"/>
      <c r="M52" s="123"/>
      <c r="N52" s="61"/>
      <c r="O52" s="145" t="s">
        <v>836</v>
      </c>
      <c r="P52" s="61"/>
      <c r="Q52" s="61"/>
      <c r="R52" s="61"/>
      <c r="S52" s="61"/>
      <c r="T52" s="61"/>
      <c r="U52" s="61"/>
      <c r="V52" s="63"/>
      <c r="W52" s="64">
        <v>45196</v>
      </c>
      <c r="X52" s="61">
        <v>2</v>
      </c>
      <c r="Y52" s="140">
        <f t="shared" ref="Y52:Y53" si="47">IF(AND(W52="",X52="")=TRUE,"",WORKDAY(W52,X52-1,Holidays))</f>
        <v>45201</v>
      </c>
      <c r="Z52" s="64"/>
      <c r="AA52" s="126" t="str">
        <f t="shared" ca="1" si="42"/>
        <v/>
      </c>
      <c r="AB52" s="65"/>
      <c r="AC52" s="66">
        <v>0</v>
      </c>
      <c r="AD52" s="125" t="str">
        <f t="shared" si="43"/>
        <v>Open</v>
      </c>
      <c r="AE52" s="150"/>
      <c r="AF52" s="80"/>
      <c r="AG52" s="81"/>
      <c r="AH52" s="81"/>
      <c r="AI52" s="81"/>
      <c r="AJ52" s="81"/>
      <c r="AK52" s="81"/>
      <c r="AL52" s="81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  <c r="BA52" s="81"/>
      <c r="BB52" s="81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81"/>
      <c r="CF52" s="81"/>
      <c r="CG52" s="81"/>
      <c r="CH52" s="81"/>
      <c r="CI52" s="81"/>
      <c r="CJ52" s="81"/>
      <c r="CK52" s="81"/>
      <c r="CL52" s="81"/>
      <c r="CM52" s="81"/>
      <c r="CN52" s="81"/>
      <c r="CO52" s="81"/>
      <c r="CP52" s="81"/>
      <c r="CQ52" s="81"/>
      <c r="CR52" s="81"/>
      <c r="CS52" s="81"/>
      <c r="CT52" s="81"/>
      <c r="CU52" s="81"/>
      <c r="CV52" s="81"/>
      <c r="CW52" s="81"/>
      <c r="CX52" s="81"/>
      <c r="CY52" s="81"/>
      <c r="CZ52" s="81"/>
      <c r="DA52" s="81"/>
      <c r="DB52" s="81"/>
      <c r="DC52" s="81"/>
      <c r="DD52" s="81"/>
      <c r="DE52" s="81"/>
      <c r="DF52" s="81"/>
      <c r="DG52" s="81"/>
      <c r="DH52" s="81"/>
      <c r="DI52" s="81"/>
      <c r="DJ52" s="81"/>
      <c r="DK52" s="81"/>
      <c r="DL52" s="81"/>
      <c r="DM52" s="81"/>
      <c r="DN52" s="81"/>
      <c r="DO52" s="81"/>
      <c r="DP52" s="81"/>
      <c r="DQ52" s="81"/>
      <c r="DR52" s="81"/>
      <c r="DS52" s="81"/>
      <c r="DT52" s="81"/>
      <c r="DU52" s="81"/>
      <c r="DV52" s="81"/>
      <c r="DW52" s="81"/>
      <c r="DX52" s="81"/>
      <c r="DY52" s="81"/>
      <c r="DZ52" s="81"/>
      <c r="EA52" s="81"/>
      <c r="EB52" s="81"/>
    </row>
    <row r="53" spans="2:132" ht="17.100000000000001" customHeight="1">
      <c r="B53" s="58">
        <v>4</v>
      </c>
      <c r="C53" s="58" t="s">
        <v>658</v>
      </c>
      <c r="D53" s="59"/>
      <c r="E53" s="60"/>
      <c r="F53" s="60"/>
      <c r="G53" s="60" t="s">
        <v>869</v>
      </c>
      <c r="H53" s="62"/>
      <c r="I53" s="145" t="s">
        <v>836</v>
      </c>
      <c r="J53" s="145" t="s">
        <v>836</v>
      </c>
      <c r="K53" s="61"/>
      <c r="L53" s="145"/>
      <c r="M53" s="123"/>
      <c r="N53" s="61"/>
      <c r="O53" s="145" t="s">
        <v>836</v>
      </c>
      <c r="P53" s="61"/>
      <c r="Q53" s="61"/>
      <c r="R53" s="61"/>
      <c r="S53" s="61"/>
      <c r="T53" s="61"/>
      <c r="U53" s="61"/>
      <c r="V53" s="63"/>
      <c r="W53" s="64">
        <v>45203</v>
      </c>
      <c r="X53" s="61">
        <v>2</v>
      </c>
      <c r="Y53" s="140">
        <f t="shared" si="47"/>
        <v>45204</v>
      </c>
      <c r="Z53" s="64"/>
      <c r="AA53" s="126"/>
      <c r="AB53" s="65"/>
      <c r="AC53" s="66">
        <v>0</v>
      </c>
      <c r="AD53" s="125" t="str">
        <f t="shared" si="43"/>
        <v>Open</v>
      </c>
      <c r="AE53" s="150"/>
      <c r="AF53" s="80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81"/>
      <c r="BB53" s="81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81"/>
      <c r="CF53" s="81"/>
      <c r="CG53" s="81"/>
      <c r="CH53" s="81"/>
      <c r="CI53" s="81"/>
      <c r="CJ53" s="81"/>
      <c r="CK53" s="81"/>
      <c r="CL53" s="81"/>
      <c r="CM53" s="81"/>
      <c r="CN53" s="81"/>
      <c r="CO53" s="81"/>
      <c r="CP53" s="81"/>
      <c r="CQ53" s="81"/>
      <c r="CR53" s="81"/>
      <c r="CS53" s="81"/>
      <c r="CT53" s="81"/>
      <c r="CU53" s="81"/>
      <c r="CV53" s="81"/>
      <c r="CW53" s="81"/>
      <c r="CX53" s="81"/>
      <c r="CY53" s="81"/>
      <c r="CZ53" s="81"/>
      <c r="DA53" s="81"/>
      <c r="DB53" s="81"/>
      <c r="DC53" s="81"/>
      <c r="DD53" s="81"/>
      <c r="DE53" s="81"/>
      <c r="DF53" s="81"/>
      <c r="DG53" s="81"/>
      <c r="DH53" s="81"/>
      <c r="DI53" s="81"/>
      <c r="DJ53" s="81"/>
      <c r="DK53" s="81"/>
      <c r="DL53" s="81"/>
      <c r="DM53" s="81"/>
      <c r="DN53" s="81"/>
      <c r="DO53" s="81"/>
      <c r="DP53" s="81"/>
      <c r="DQ53" s="81"/>
      <c r="DR53" s="81"/>
      <c r="DS53" s="81"/>
      <c r="DT53" s="81"/>
      <c r="DU53" s="81"/>
      <c r="DV53" s="81"/>
      <c r="DW53" s="81"/>
      <c r="DX53" s="81"/>
      <c r="DY53" s="81"/>
      <c r="DZ53" s="81"/>
      <c r="EA53" s="81"/>
      <c r="EB53" s="81"/>
    </row>
    <row r="54" spans="2:132" ht="17.100000000000001" customHeight="1">
      <c r="B54" s="58">
        <v>4</v>
      </c>
      <c r="C54" s="58" t="s">
        <v>658</v>
      </c>
      <c r="D54" s="59"/>
      <c r="E54" s="60"/>
      <c r="F54" s="60"/>
      <c r="G54" s="60" t="s">
        <v>870</v>
      </c>
      <c r="H54" s="62"/>
      <c r="I54" s="145" t="s">
        <v>836</v>
      </c>
      <c r="J54" s="145" t="s">
        <v>836</v>
      </c>
      <c r="K54" s="61"/>
      <c r="L54" s="145"/>
      <c r="M54" s="123"/>
      <c r="N54" s="61"/>
      <c r="O54" s="145" t="s">
        <v>836</v>
      </c>
      <c r="P54" s="61"/>
      <c r="Q54" s="61"/>
      <c r="R54" s="61"/>
      <c r="S54" s="61"/>
      <c r="T54" s="61"/>
      <c r="U54" s="61"/>
      <c r="V54" s="63"/>
      <c r="W54" s="64">
        <v>45205</v>
      </c>
      <c r="X54" s="61">
        <v>2</v>
      </c>
      <c r="Y54" s="140">
        <f t="shared" ref="Y54" si="48">IF(AND(W54="",X54="")=TRUE,"",WORKDAY(W54,X54-1,Holidays))</f>
        <v>45209</v>
      </c>
      <c r="Z54" s="64"/>
      <c r="AA54" s="126" t="str">
        <f t="shared" ref="AA54:AA74" ca="1" si="49">IF(AND(Z54="",AB54="")=TRUE,"",IF(AND(Z54&gt;0,AB54="")=TRUE,NETWORKDAYS(Z54,TODAY(),Holidays),NETWORKDAYS(Z54,AB54,Holidays)))</f>
        <v/>
      </c>
      <c r="AB54" s="65"/>
      <c r="AC54" s="66">
        <v>0</v>
      </c>
      <c r="AD54" s="125" t="str">
        <f t="shared" ref="AD54:AD90" si="50">IF(AC54=100%,"Completed",IF(AND(AC54&lt;100%,AC54&gt;0%)=TRUE,"In-Progress","Open"))</f>
        <v>Open</v>
      </c>
      <c r="AE54" s="150"/>
      <c r="AF54" s="80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81"/>
      <c r="CF54" s="81"/>
      <c r="CG54" s="81"/>
      <c r="CH54" s="81"/>
      <c r="CI54" s="81"/>
      <c r="CJ54" s="81"/>
      <c r="CK54" s="81"/>
      <c r="CL54" s="81"/>
      <c r="CM54" s="81"/>
      <c r="CN54" s="81"/>
      <c r="CO54" s="81"/>
      <c r="CP54" s="81"/>
      <c r="CQ54" s="81"/>
      <c r="CR54" s="81"/>
      <c r="CS54" s="81"/>
      <c r="CT54" s="81"/>
      <c r="CU54" s="81"/>
      <c r="CV54" s="81"/>
      <c r="CW54" s="81"/>
      <c r="CX54" s="81"/>
      <c r="CY54" s="81"/>
      <c r="CZ54" s="81"/>
      <c r="DA54" s="81"/>
      <c r="DB54" s="81"/>
      <c r="DC54" s="81"/>
      <c r="DD54" s="81"/>
      <c r="DE54" s="81"/>
      <c r="DF54" s="81"/>
      <c r="DG54" s="81"/>
      <c r="DH54" s="81"/>
      <c r="DI54" s="81"/>
      <c r="DJ54" s="81"/>
      <c r="DK54" s="81"/>
      <c r="DL54" s="81"/>
      <c r="DM54" s="81"/>
      <c r="DN54" s="81"/>
      <c r="DO54" s="81"/>
      <c r="DP54" s="81"/>
      <c r="DQ54" s="81"/>
      <c r="DR54" s="81"/>
      <c r="DS54" s="81"/>
      <c r="DT54" s="81"/>
      <c r="DU54" s="81"/>
      <c r="DV54" s="81"/>
      <c r="DW54" s="81"/>
      <c r="DX54" s="81"/>
      <c r="DY54" s="81"/>
      <c r="DZ54" s="81"/>
      <c r="EA54" s="81"/>
      <c r="EB54" s="81"/>
    </row>
    <row r="55" spans="2:132" ht="17.100000000000001" customHeight="1">
      <c r="B55" s="92">
        <v>2</v>
      </c>
      <c r="C55" s="92" t="s">
        <v>655</v>
      </c>
      <c r="D55" s="93"/>
      <c r="E55" s="94" t="s">
        <v>871</v>
      </c>
      <c r="F55" s="94"/>
      <c r="G55" s="94"/>
      <c r="H55" s="95"/>
      <c r="I55" s="118" t="str">
        <f>IF(COUNTIF(I56:I91,"●")&gt;0,"●","")</f>
        <v>●</v>
      </c>
      <c r="J55" s="91" t="str">
        <f t="shared" ref="J55:L55" si="51">IF(COUNTIF(J56:J91,"●")&gt;0,"●","")</f>
        <v>●</v>
      </c>
      <c r="K55" s="91" t="str">
        <f t="shared" ref="K55" si="52">IF(COUNTIF(K56:K91,"●")&gt;0,"●","")</f>
        <v/>
      </c>
      <c r="L55" s="144" t="str">
        <f t="shared" si="51"/>
        <v/>
      </c>
      <c r="M55" s="118" t="str">
        <f>IF(COUNTIF(M56:M91,"●")&gt;0,"●","")</f>
        <v/>
      </c>
      <c r="N55" s="91" t="str">
        <f t="shared" ref="N55" si="53">IF(COUNTIF(N56:N91,"●")&gt;0,"●","")</f>
        <v>●</v>
      </c>
      <c r="O55" s="144" t="str">
        <f t="shared" ref="O55:V55" si="54">IF(COUNTIF(O56:O91,"●")&gt;0,"●","")</f>
        <v/>
      </c>
      <c r="P55" s="144" t="str">
        <f t="shared" si="54"/>
        <v/>
      </c>
      <c r="Q55" s="144" t="str">
        <f t="shared" si="54"/>
        <v/>
      </c>
      <c r="R55" s="144" t="str">
        <f t="shared" si="54"/>
        <v/>
      </c>
      <c r="S55" s="144" t="str">
        <f t="shared" si="54"/>
        <v/>
      </c>
      <c r="T55" s="144" t="str">
        <f t="shared" si="54"/>
        <v/>
      </c>
      <c r="U55" s="144" t="str">
        <f t="shared" si="54"/>
        <v/>
      </c>
      <c r="V55" s="144" t="str">
        <f t="shared" si="54"/>
        <v/>
      </c>
      <c r="W55" s="96">
        <f>IF(MIN(W56:W91)=0,"",MIN(W56:W91))</f>
        <v>45089</v>
      </c>
      <c r="X55" s="97">
        <f ca="1">IF(AND(W55="",Y55="")=TRUE,"",IF(AND(W55&gt;0,Y55="")=TRUE,NETWORKDAYS(W55,TODAY(),Holidays),NETWORKDAYS(W55,Y55,Holidays)))</f>
        <v>82</v>
      </c>
      <c r="Y55" s="139">
        <f>IF(MAX(Y56:Y91)=0,"",MAX(Y56:Y91))</f>
        <v>45209</v>
      </c>
      <c r="Z55" s="96">
        <f>IF(MIN(Z56:Z91)=0,"",MIN(Z56:Z91))</f>
        <v>45096</v>
      </c>
      <c r="AA55" s="97">
        <f t="shared" ca="1" si="49"/>
        <v>15</v>
      </c>
      <c r="AB55" s="98">
        <f>IF(MAX(AB56:AB91)=0,"",MAX(AB56:AB91))</f>
        <v>45114</v>
      </c>
      <c r="AC55" s="99">
        <f>IFERROR(AVERAGE(AC56,AC63,AC66,AC73,AC77,AC84,AC88),"")</f>
        <v>0.17857142857142858</v>
      </c>
      <c r="AD55" s="100" t="str">
        <f t="shared" si="50"/>
        <v>In-Progress</v>
      </c>
      <c r="AE55" s="101"/>
      <c r="AF55" s="80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81"/>
      <c r="CN55" s="81"/>
      <c r="CO55" s="81"/>
      <c r="CP55" s="81"/>
      <c r="CQ55" s="81"/>
      <c r="CR55" s="81"/>
      <c r="CS55" s="81"/>
      <c r="CT55" s="81"/>
      <c r="CU55" s="81"/>
      <c r="CV55" s="81"/>
      <c r="CW55" s="81"/>
      <c r="CX55" s="81"/>
      <c r="CY55" s="81"/>
      <c r="CZ55" s="81"/>
      <c r="DA55" s="81"/>
      <c r="DB55" s="81"/>
      <c r="DC55" s="81"/>
      <c r="DD55" s="81"/>
      <c r="DE55" s="81"/>
      <c r="DF55" s="81"/>
      <c r="DG55" s="81"/>
      <c r="DH55" s="81"/>
      <c r="DI55" s="81"/>
      <c r="DJ55" s="81"/>
      <c r="DK55" s="81"/>
      <c r="DL55" s="81"/>
      <c r="DM55" s="81"/>
      <c r="DN55" s="81"/>
      <c r="DO55" s="81"/>
      <c r="DP55" s="81"/>
      <c r="DQ55" s="81"/>
      <c r="DR55" s="81"/>
      <c r="DS55" s="81"/>
      <c r="DT55" s="81"/>
      <c r="DU55" s="81"/>
      <c r="DV55" s="81"/>
      <c r="DW55" s="81"/>
      <c r="DX55" s="81"/>
      <c r="DY55" s="81"/>
      <c r="DZ55" s="81"/>
      <c r="EA55" s="81"/>
      <c r="EB55" s="81"/>
    </row>
    <row r="56" spans="2:132" ht="17.100000000000001" customHeight="1">
      <c r="B56" s="92">
        <v>3</v>
      </c>
      <c r="C56" s="92" t="s">
        <v>655</v>
      </c>
      <c r="D56" s="93"/>
      <c r="E56" s="94"/>
      <c r="F56" s="94" t="s">
        <v>872</v>
      </c>
      <c r="G56" s="94"/>
      <c r="H56" s="95"/>
      <c r="I56" s="118" t="str">
        <f>IF(COUNTIF(I57:I62,"●")&gt;0,"●","")</f>
        <v>●</v>
      </c>
      <c r="J56" s="91" t="str">
        <f t="shared" ref="J56:L56" si="55">IF(COUNTIF(J57:J62,"●")&gt;0,"●","")</f>
        <v/>
      </c>
      <c r="K56" s="91" t="str">
        <f t="shared" ref="K56" si="56">IF(COUNTIF(K57:K62,"●")&gt;0,"●","")</f>
        <v/>
      </c>
      <c r="L56" s="144" t="str">
        <f t="shared" si="55"/>
        <v/>
      </c>
      <c r="M56" s="118" t="str">
        <f>IF(COUNTIF(M57:M62,"●")&gt;0,"●","")</f>
        <v/>
      </c>
      <c r="N56" s="91" t="str">
        <f t="shared" ref="N56:V56" si="57">IF(COUNTIF(N57:N62,"●")&gt;0,"●","")</f>
        <v>●</v>
      </c>
      <c r="O56" s="144" t="str">
        <f t="shared" si="57"/>
        <v/>
      </c>
      <c r="P56" s="144" t="str">
        <f t="shared" si="57"/>
        <v/>
      </c>
      <c r="Q56" s="144" t="str">
        <f t="shared" si="57"/>
        <v/>
      </c>
      <c r="R56" s="144" t="str">
        <f t="shared" si="57"/>
        <v/>
      </c>
      <c r="S56" s="144" t="str">
        <f t="shared" si="57"/>
        <v/>
      </c>
      <c r="T56" s="144" t="str">
        <f t="shared" si="57"/>
        <v/>
      </c>
      <c r="U56" s="144" t="str">
        <f t="shared" si="57"/>
        <v/>
      </c>
      <c r="V56" s="144" t="str">
        <f t="shared" si="57"/>
        <v/>
      </c>
      <c r="W56" s="96">
        <f>IF(MIN(W57:W62)=0,"",MIN(W57:W62))</f>
        <v>45089</v>
      </c>
      <c r="X56" s="97">
        <f ca="1">IF(AND(W56="",Y56="")=TRUE,"",IF(AND(W56&gt;0,Y56="")=TRUE,NETWORKDAYS(W56,TODAY(),Holidays),NETWORKDAYS(W56,Y56,Holidays)))</f>
        <v>20</v>
      </c>
      <c r="Y56" s="138">
        <f>IF(MAX(Y57:Y62)=0,"",MAX(Y57:Y62))</f>
        <v>45114</v>
      </c>
      <c r="Z56" s="96">
        <f>IF(MIN(Z57:Z62)=0,"",MIN(Z57:Z62))</f>
        <v>45096</v>
      </c>
      <c r="AA56" s="97">
        <f t="shared" ca="1" si="49"/>
        <v>15</v>
      </c>
      <c r="AB56" s="98">
        <f>IF(MAX(AB57:AB62)=0,"",MAX(AB57:AB62))</f>
        <v>45114</v>
      </c>
      <c r="AC56" s="99">
        <f>IFERROR(AVERAGE(AC57:AC62),"")</f>
        <v>1</v>
      </c>
      <c r="AD56" s="100" t="str">
        <f t="shared" si="50"/>
        <v>Completed</v>
      </c>
      <c r="AE56" s="101"/>
      <c r="AF56" s="80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81"/>
      <c r="CN56" s="81"/>
      <c r="CO56" s="81"/>
      <c r="CP56" s="81"/>
      <c r="CQ56" s="81"/>
      <c r="CR56" s="81"/>
      <c r="CS56" s="81"/>
      <c r="CT56" s="81"/>
      <c r="CU56" s="81"/>
      <c r="CV56" s="81"/>
      <c r="CW56" s="81"/>
      <c r="CX56" s="81"/>
      <c r="CY56" s="81"/>
      <c r="CZ56" s="81"/>
      <c r="DA56" s="81"/>
      <c r="DB56" s="81"/>
      <c r="DC56" s="81"/>
      <c r="DD56" s="81"/>
      <c r="DE56" s="81"/>
      <c r="DF56" s="81"/>
      <c r="DG56" s="81"/>
      <c r="DH56" s="81"/>
      <c r="DI56" s="81"/>
      <c r="DJ56" s="81"/>
      <c r="DK56" s="81"/>
      <c r="DL56" s="81"/>
      <c r="DM56" s="81"/>
      <c r="DN56" s="81"/>
      <c r="DO56" s="81"/>
      <c r="DP56" s="81"/>
      <c r="DQ56" s="81"/>
      <c r="DR56" s="81"/>
      <c r="DS56" s="81"/>
      <c r="DT56" s="81"/>
      <c r="DU56" s="81"/>
      <c r="DV56" s="81"/>
      <c r="DW56" s="81"/>
      <c r="DX56" s="81"/>
      <c r="DY56" s="81"/>
      <c r="DZ56" s="81"/>
      <c r="EA56" s="81"/>
      <c r="EB56" s="81"/>
    </row>
    <row r="57" spans="2:132" ht="17.100000000000001" customHeight="1">
      <c r="B57" s="58">
        <v>4</v>
      </c>
      <c r="C57" s="58" t="s">
        <v>658</v>
      </c>
      <c r="D57" s="59"/>
      <c r="E57" s="60"/>
      <c r="F57" s="60"/>
      <c r="G57" s="60" t="s">
        <v>873</v>
      </c>
      <c r="H57" s="62"/>
      <c r="I57" s="145" t="s">
        <v>836</v>
      </c>
      <c r="J57" s="61"/>
      <c r="K57" s="61"/>
      <c r="L57" s="145"/>
      <c r="M57" s="123"/>
      <c r="N57" s="145" t="s">
        <v>836</v>
      </c>
      <c r="O57" s="145"/>
      <c r="P57" s="61"/>
      <c r="Q57" s="61"/>
      <c r="R57" s="61"/>
      <c r="S57" s="61"/>
      <c r="T57" s="61"/>
      <c r="U57" s="61"/>
      <c r="V57" s="63"/>
      <c r="W57" s="64">
        <v>45089</v>
      </c>
      <c r="X57" s="61">
        <v>5</v>
      </c>
      <c r="Y57" s="140">
        <f t="shared" ref="Y57:Y62" si="58">IF(AND(W57="",X57="")=TRUE,"",WORKDAY(W57,X57-1,Holidays))</f>
        <v>45093</v>
      </c>
      <c r="Z57" s="64">
        <v>45096</v>
      </c>
      <c r="AA57" s="126">
        <f t="shared" ca="1" si="49"/>
        <v>4</v>
      </c>
      <c r="AB57" s="65">
        <v>45099</v>
      </c>
      <c r="AC57" s="66">
        <v>1</v>
      </c>
      <c r="AD57" s="125" t="str">
        <f t="shared" si="50"/>
        <v>Completed</v>
      </c>
      <c r="AE57" s="150"/>
      <c r="AF57" s="80"/>
      <c r="AG57" s="81"/>
      <c r="AH57" s="81"/>
      <c r="AI57" s="81"/>
      <c r="AJ57" s="81"/>
      <c r="AK57" s="81"/>
      <c r="AL57" s="81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  <c r="BA57" s="81"/>
      <c r="BB57" s="81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81"/>
      <c r="CF57" s="81"/>
      <c r="CG57" s="81"/>
      <c r="CH57" s="81"/>
      <c r="CI57" s="81"/>
      <c r="CJ57" s="81"/>
      <c r="CK57" s="81"/>
      <c r="CL57" s="81"/>
      <c r="CM57" s="81"/>
      <c r="CN57" s="81"/>
      <c r="CO57" s="81"/>
      <c r="CP57" s="81"/>
      <c r="CQ57" s="81"/>
      <c r="CR57" s="81"/>
      <c r="CS57" s="81"/>
      <c r="CT57" s="81"/>
      <c r="CU57" s="81"/>
      <c r="CV57" s="81"/>
      <c r="CW57" s="81"/>
      <c r="CX57" s="81"/>
      <c r="CY57" s="81"/>
      <c r="CZ57" s="81"/>
      <c r="DA57" s="81"/>
      <c r="DB57" s="81"/>
      <c r="DC57" s="81"/>
      <c r="DD57" s="81"/>
      <c r="DE57" s="81"/>
      <c r="DF57" s="81"/>
      <c r="DG57" s="81"/>
      <c r="DH57" s="81"/>
      <c r="DI57" s="81"/>
      <c r="DJ57" s="81"/>
      <c r="DK57" s="81"/>
      <c r="DL57" s="81"/>
      <c r="DM57" s="81"/>
      <c r="DN57" s="81"/>
      <c r="DO57" s="81"/>
      <c r="DP57" s="81"/>
      <c r="DQ57" s="81"/>
      <c r="DR57" s="81"/>
      <c r="DS57" s="81"/>
      <c r="DT57" s="81"/>
      <c r="DU57" s="81"/>
      <c r="DV57" s="81"/>
      <c r="DW57" s="81"/>
      <c r="DX57" s="81"/>
      <c r="DY57" s="81"/>
      <c r="DZ57" s="81"/>
      <c r="EA57" s="81"/>
      <c r="EB57" s="81"/>
    </row>
    <row r="58" spans="2:132" ht="17.100000000000001" customHeight="1">
      <c r="B58" s="58">
        <v>4</v>
      </c>
      <c r="C58" s="58" t="s">
        <v>658</v>
      </c>
      <c r="D58" s="59"/>
      <c r="E58" s="60"/>
      <c r="F58" s="60"/>
      <c r="G58" s="60" t="s">
        <v>874</v>
      </c>
      <c r="H58" s="62"/>
      <c r="I58" s="145" t="s">
        <v>836</v>
      </c>
      <c r="J58" s="61"/>
      <c r="K58" s="61"/>
      <c r="L58" s="145"/>
      <c r="M58" s="123"/>
      <c r="N58" s="145" t="s">
        <v>836</v>
      </c>
      <c r="O58" s="145"/>
      <c r="P58" s="61"/>
      <c r="Q58" s="61"/>
      <c r="R58" s="61"/>
      <c r="S58" s="61"/>
      <c r="T58" s="61"/>
      <c r="U58" s="61"/>
      <c r="V58" s="63"/>
      <c r="W58" s="64">
        <v>45096</v>
      </c>
      <c r="X58" s="61">
        <v>5</v>
      </c>
      <c r="Y58" s="140">
        <f t="shared" si="58"/>
        <v>45100</v>
      </c>
      <c r="Z58" s="64">
        <v>45105</v>
      </c>
      <c r="AA58" s="126">
        <f t="shared" ca="1" si="49"/>
        <v>6</v>
      </c>
      <c r="AB58" s="65">
        <v>45112</v>
      </c>
      <c r="AC58" s="66">
        <v>1</v>
      </c>
      <c r="AD58" s="125" t="str">
        <f t="shared" si="50"/>
        <v>Completed</v>
      </c>
      <c r="AE58" s="150"/>
      <c r="AF58" s="80"/>
      <c r="AG58" s="81"/>
      <c r="AH58" s="81"/>
      <c r="AI58" s="81"/>
      <c r="AJ58" s="81"/>
      <c r="AK58" s="81"/>
      <c r="AL58" s="81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  <c r="BA58" s="81"/>
      <c r="BB58" s="81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81"/>
      <c r="CH58" s="81"/>
      <c r="CI58" s="81"/>
      <c r="CJ58" s="81"/>
      <c r="CK58" s="81"/>
      <c r="CL58" s="81"/>
      <c r="CM58" s="81"/>
      <c r="CN58" s="81"/>
      <c r="CO58" s="81"/>
      <c r="CP58" s="81"/>
      <c r="CQ58" s="81"/>
      <c r="CR58" s="81"/>
      <c r="CS58" s="81"/>
      <c r="CT58" s="81"/>
      <c r="CU58" s="81"/>
      <c r="CV58" s="81"/>
      <c r="CW58" s="81"/>
      <c r="CX58" s="81"/>
      <c r="CY58" s="81"/>
      <c r="CZ58" s="81"/>
      <c r="DA58" s="81"/>
      <c r="DB58" s="81"/>
      <c r="DC58" s="81"/>
      <c r="DD58" s="81"/>
      <c r="DE58" s="81"/>
      <c r="DF58" s="81"/>
      <c r="DG58" s="81"/>
      <c r="DH58" s="81"/>
      <c r="DI58" s="81"/>
      <c r="DJ58" s="81"/>
      <c r="DK58" s="81"/>
      <c r="DL58" s="81"/>
      <c r="DM58" s="81"/>
      <c r="DN58" s="81"/>
      <c r="DO58" s="81"/>
      <c r="DP58" s="81"/>
      <c r="DQ58" s="81"/>
      <c r="DR58" s="81"/>
      <c r="DS58" s="81"/>
      <c r="DT58" s="81"/>
      <c r="DU58" s="81"/>
      <c r="DV58" s="81"/>
      <c r="DW58" s="81"/>
      <c r="DX58" s="81"/>
      <c r="DY58" s="81"/>
      <c r="DZ58" s="81"/>
      <c r="EA58" s="81"/>
      <c r="EB58" s="81"/>
    </row>
    <row r="59" spans="2:132" ht="17.100000000000001" customHeight="1">
      <c r="B59" s="58">
        <v>4</v>
      </c>
      <c r="C59" s="58" t="s">
        <v>658</v>
      </c>
      <c r="D59" s="59"/>
      <c r="E59" s="60"/>
      <c r="F59" s="60"/>
      <c r="G59" s="60" t="s">
        <v>875</v>
      </c>
      <c r="H59" s="62"/>
      <c r="I59" s="145" t="s">
        <v>836</v>
      </c>
      <c r="J59" s="61"/>
      <c r="K59" s="61"/>
      <c r="L59" s="145"/>
      <c r="M59" s="123"/>
      <c r="N59" s="145" t="s">
        <v>836</v>
      </c>
      <c r="O59" s="145"/>
      <c r="P59" s="61"/>
      <c r="Q59" s="61"/>
      <c r="R59" s="61"/>
      <c r="S59" s="61"/>
      <c r="T59" s="61"/>
      <c r="U59" s="61"/>
      <c r="V59" s="63"/>
      <c r="W59" s="64">
        <v>45103</v>
      </c>
      <c r="X59" s="61">
        <v>3</v>
      </c>
      <c r="Y59" s="140">
        <f t="shared" si="58"/>
        <v>45105</v>
      </c>
      <c r="Z59" s="64">
        <v>45103</v>
      </c>
      <c r="AA59" s="126">
        <f t="shared" ca="1" si="49"/>
        <v>3</v>
      </c>
      <c r="AB59" s="65">
        <v>45105</v>
      </c>
      <c r="AC59" s="66">
        <v>1</v>
      </c>
      <c r="AD59" s="125" t="str">
        <f t="shared" si="50"/>
        <v>Completed</v>
      </c>
      <c r="AE59" s="150"/>
      <c r="AF59" s="80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  <c r="BA59" s="81"/>
      <c r="BB59" s="81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81"/>
      <c r="CF59" s="81"/>
      <c r="CG59" s="81"/>
      <c r="CH59" s="81"/>
      <c r="CI59" s="81"/>
      <c r="CJ59" s="81"/>
      <c r="CK59" s="81"/>
      <c r="CL59" s="81"/>
      <c r="CM59" s="81"/>
      <c r="CN59" s="81"/>
      <c r="CO59" s="81"/>
      <c r="CP59" s="81"/>
      <c r="CQ59" s="81"/>
      <c r="CR59" s="81"/>
      <c r="CS59" s="81"/>
      <c r="CT59" s="81"/>
      <c r="CU59" s="81"/>
      <c r="CV59" s="81"/>
      <c r="CW59" s="81"/>
      <c r="CX59" s="81"/>
      <c r="CY59" s="81"/>
      <c r="CZ59" s="81"/>
      <c r="DA59" s="81"/>
      <c r="DB59" s="81"/>
      <c r="DC59" s="81"/>
      <c r="DD59" s="81"/>
      <c r="DE59" s="81"/>
      <c r="DF59" s="81"/>
      <c r="DG59" s="81"/>
      <c r="DH59" s="81"/>
      <c r="DI59" s="81"/>
      <c r="DJ59" s="81"/>
      <c r="DK59" s="81"/>
      <c r="DL59" s="81"/>
      <c r="DM59" s="81"/>
      <c r="DN59" s="81"/>
      <c r="DO59" s="81"/>
      <c r="DP59" s="81"/>
      <c r="DQ59" s="81"/>
      <c r="DR59" s="81"/>
      <c r="DS59" s="81"/>
      <c r="DT59" s="81"/>
      <c r="DU59" s="81"/>
      <c r="DV59" s="81"/>
      <c r="DW59" s="81"/>
      <c r="DX59" s="81"/>
      <c r="DY59" s="81"/>
      <c r="DZ59" s="81"/>
      <c r="EA59" s="81"/>
      <c r="EB59" s="81"/>
    </row>
    <row r="60" spans="2:132" ht="17.100000000000001" customHeight="1">
      <c r="B60" s="58">
        <v>4</v>
      </c>
      <c r="C60" s="58" t="s">
        <v>658</v>
      </c>
      <c r="D60" s="59"/>
      <c r="E60" s="60"/>
      <c r="F60" s="60"/>
      <c r="G60" s="60" t="s">
        <v>876</v>
      </c>
      <c r="H60" s="62"/>
      <c r="I60" s="145" t="s">
        <v>836</v>
      </c>
      <c r="J60" s="61"/>
      <c r="K60" s="61"/>
      <c r="L60" s="145"/>
      <c r="M60" s="123"/>
      <c r="N60" s="145" t="s">
        <v>836</v>
      </c>
      <c r="O60" s="145"/>
      <c r="P60" s="61"/>
      <c r="Q60" s="61"/>
      <c r="R60" s="61"/>
      <c r="S60" s="61"/>
      <c r="T60" s="61"/>
      <c r="U60" s="61"/>
      <c r="V60" s="63"/>
      <c r="W60" s="64">
        <v>45106</v>
      </c>
      <c r="X60" s="61">
        <v>3</v>
      </c>
      <c r="Y60" s="140">
        <f t="shared" si="58"/>
        <v>45110</v>
      </c>
      <c r="Z60" s="64">
        <v>45099</v>
      </c>
      <c r="AA60" s="126">
        <f t="shared" ca="1" si="49"/>
        <v>2</v>
      </c>
      <c r="AB60" s="65">
        <v>45100</v>
      </c>
      <c r="AC60" s="66">
        <v>1</v>
      </c>
      <c r="AD60" s="125" t="str">
        <f t="shared" si="50"/>
        <v>Completed</v>
      </c>
      <c r="AE60" s="150"/>
      <c r="AF60" s="80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  <c r="BA60" s="81"/>
      <c r="BB60" s="81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81"/>
      <c r="CF60" s="81"/>
      <c r="CG60" s="81"/>
      <c r="CH60" s="81"/>
      <c r="CI60" s="81"/>
      <c r="CJ60" s="81"/>
      <c r="CK60" s="81"/>
      <c r="CL60" s="81"/>
      <c r="CM60" s="81"/>
      <c r="CN60" s="81"/>
      <c r="CO60" s="81"/>
      <c r="CP60" s="81"/>
      <c r="CQ60" s="81"/>
      <c r="CR60" s="81"/>
      <c r="CS60" s="81"/>
      <c r="CT60" s="81"/>
      <c r="CU60" s="81"/>
      <c r="CV60" s="81"/>
      <c r="CW60" s="81"/>
      <c r="CX60" s="81"/>
      <c r="CY60" s="81"/>
      <c r="CZ60" s="81"/>
      <c r="DA60" s="81"/>
      <c r="DB60" s="81"/>
      <c r="DC60" s="81"/>
      <c r="DD60" s="81"/>
      <c r="DE60" s="81"/>
      <c r="DF60" s="81"/>
      <c r="DG60" s="81"/>
      <c r="DH60" s="81"/>
      <c r="DI60" s="81"/>
      <c r="DJ60" s="81"/>
      <c r="DK60" s="81"/>
      <c r="DL60" s="81"/>
      <c r="DM60" s="81"/>
      <c r="DN60" s="81"/>
      <c r="DO60" s="81"/>
      <c r="DP60" s="81"/>
      <c r="DQ60" s="81"/>
      <c r="DR60" s="81"/>
      <c r="DS60" s="81"/>
      <c r="DT60" s="81"/>
      <c r="DU60" s="81"/>
      <c r="DV60" s="81"/>
      <c r="DW60" s="81"/>
      <c r="DX60" s="81"/>
      <c r="DY60" s="81"/>
      <c r="DZ60" s="81"/>
      <c r="EA60" s="81"/>
      <c r="EB60" s="81"/>
    </row>
    <row r="61" spans="2:132" ht="17.100000000000001" customHeight="1">
      <c r="B61" s="58">
        <v>4</v>
      </c>
      <c r="C61" s="58" t="s">
        <v>658</v>
      </c>
      <c r="D61" s="59"/>
      <c r="E61" s="60"/>
      <c r="F61" s="60"/>
      <c r="G61" s="60" t="s">
        <v>877</v>
      </c>
      <c r="H61" s="62"/>
      <c r="I61" s="145" t="s">
        <v>836</v>
      </c>
      <c r="J61" s="61"/>
      <c r="K61" s="61"/>
      <c r="L61" s="145"/>
      <c r="M61" s="123"/>
      <c r="N61" s="145" t="s">
        <v>836</v>
      </c>
      <c r="O61" s="145"/>
      <c r="P61" s="61"/>
      <c r="Q61" s="61"/>
      <c r="R61" s="61"/>
      <c r="S61" s="61"/>
      <c r="T61" s="61"/>
      <c r="U61" s="61"/>
      <c r="V61" s="63"/>
      <c r="W61" s="64">
        <v>45111</v>
      </c>
      <c r="X61" s="61">
        <v>3</v>
      </c>
      <c r="Y61" s="140">
        <f t="shared" si="58"/>
        <v>45113</v>
      </c>
      <c r="Z61" s="64">
        <v>45113</v>
      </c>
      <c r="AA61" s="126">
        <f t="shared" ca="1" si="49"/>
        <v>2</v>
      </c>
      <c r="AB61" s="65">
        <v>45114</v>
      </c>
      <c r="AC61" s="66">
        <v>1</v>
      </c>
      <c r="AD61" s="125" t="str">
        <f t="shared" si="50"/>
        <v>Completed</v>
      </c>
      <c r="AE61" s="150"/>
      <c r="AF61" s="80"/>
      <c r="AG61" s="81"/>
      <c r="AH61" s="81"/>
      <c r="AI61" s="81"/>
      <c r="AJ61" s="81"/>
      <c r="AK61" s="81"/>
      <c r="AL61" s="81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  <c r="BA61" s="81"/>
      <c r="BB61" s="81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81"/>
      <c r="CF61" s="81"/>
      <c r="CG61" s="81"/>
      <c r="CH61" s="81"/>
      <c r="CI61" s="81"/>
      <c r="CJ61" s="81"/>
      <c r="CK61" s="81"/>
      <c r="CL61" s="81"/>
      <c r="CM61" s="81"/>
      <c r="CN61" s="81"/>
      <c r="CO61" s="81"/>
      <c r="CP61" s="81"/>
      <c r="CQ61" s="81"/>
      <c r="CR61" s="81"/>
      <c r="CS61" s="81"/>
      <c r="CT61" s="81"/>
      <c r="CU61" s="81"/>
      <c r="CV61" s="81"/>
      <c r="CW61" s="81"/>
      <c r="CX61" s="81"/>
      <c r="CY61" s="81"/>
      <c r="CZ61" s="81"/>
      <c r="DA61" s="81"/>
      <c r="DB61" s="81"/>
      <c r="DC61" s="81"/>
      <c r="DD61" s="81"/>
      <c r="DE61" s="81"/>
      <c r="DF61" s="81"/>
      <c r="DG61" s="81"/>
      <c r="DH61" s="81"/>
      <c r="DI61" s="81"/>
      <c r="DJ61" s="81"/>
      <c r="DK61" s="81"/>
      <c r="DL61" s="81"/>
      <c r="DM61" s="81"/>
      <c r="DN61" s="81"/>
      <c r="DO61" s="81"/>
      <c r="DP61" s="81"/>
      <c r="DQ61" s="81"/>
      <c r="DR61" s="81"/>
      <c r="DS61" s="81"/>
      <c r="DT61" s="81"/>
      <c r="DU61" s="81"/>
      <c r="DV61" s="81"/>
      <c r="DW61" s="81"/>
      <c r="DX61" s="81"/>
      <c r="DY61" s="81"/>
      <c r="DZ61" s="81"/>
      <c r="EA61" s="81"/>
      <c r="EB61" s="81"/>
    </row>
    <row r="62" spans="2:132" ht="17.100000000000001" customHeight="1">
      <c r="B62" s="58">
        <v>4</v>
      </c>
      <c r="C62" s="58" t="s">
        <v>658</v>
      </c>
      <c r="D62" s="59"/>
      <c r="E62" s="60"/>
      <c r="F62" s="60"/>
      <c r="G62" s="60" t="s">
        <v>878</v>
      </c>
      <c r="H62" s="62"/>
      <c r="I62" s="145" t="s">
        <v>836</v>
      </c>
      <c r="J62" s="61"/>
      <c r="K62" s="61"/>
      <c r="L62" s="145"/>
      <c r="M62" s="123"/>
      <c r="N62" s="145" t="s">
        <v>836</v>
      </c>
      <c r="O62" s="145"/>
      <c r="P62" s="61"/>
      <c r="Q62" s="61"/>
      <c r="R62" s="61"/>
      <c r="S62" s="61"/>
      <c r="T62" s="61"/>
      <c r="U62" s="61"/>
      <c r="V62" s="63"/>
      <c r="W62" s="64">
        <v>45114</v>
      </c>
      <c r="X62" s="61">
        <v>1</v>
      </c>
      <c r="Y62" s="140">
        <f t="shared" si="58"/>
        <v>45114</v>
      </c>
      <c r="Z62" s="64">
        <v>45114</v>
      </c>
      <c r="AA62" s="126">
        <f t="shared" ca="1" si="49"/>
        <v>1</v>
      </c>
      <c r="AB62" s="65">
        <v>45114</v>
      </c>
      <c r="AC62" s="66">
        <v>1</v>
      </c>
      <c r="AD62" s="125" t="str">
        <f t="shared" si="50"/>
        <v>Completed</v>
      </c>
      <c r="AE62" s="150"/>
      <c r="AF62" s="80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  <c r="BA62" s="81"/>
      <c r="BB62" s="81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81"/>
      <c r="CF62" s="81"/>
      <c r="CG62" s="81"/>
      <c r="CH62" s="81"/>
      <c r="CI62" s="81"/>
      <c r="CJ62" s="81"/>
      <c r="CK62" s="81"/>
      <c r="CL62" s="81"/>
      <c r="CM62" s="81"/>
      <c r="CN62" s="81"/>
      <c r="CO62" s="81"/>
      <c r="CP62" s="81"/>
      <c r="CQ62" s="81"/>
      <c r="CR62" s="81"/>
      <c r="CS62" s="81"/>
      <c r="CT62" s="81"/>
      <c r="CU62" s="81"/>
      <c r="CV62" s="81"/>
      <c r="CW62" s="81"/>
      <c r="CX62" s="81"/>
      <c r="CY62" s="81"/>
      <c r="CZ62" s="81"/>
      <c r="DA62" s="81"/>
      <c r="DB62" s="81"/>
      <c r="DC62" s="81"/>
      <c r="DD62" s="81"/>
      <c r="DE62" s="81"/>
      <c r="DF62" s="81"/>
      <c r="DG62" s="81"/>
      <c r="DH62" s="81"/>
      <c r="DI62" s="81"/>
      <c r="DJ62" s="81"/>
      <c r="DK62" s="81"/>
      <c r="DL62" s="81"/>
      <c r="DM62" s="81"/>
      <c r="DN62" s="81"/>
      <c r="DO62" s="81"/>
      <c r="DP62" s="81"/>
      <c r="DQ62" s="81"/>
      <c r="DR62" s="81"/>
      <c r="DS62" s="81"/>
      <c r="DT62" s="81"/>
      <c r="DU62" s="81"/>
      <c r="DV62" s="81"/>
      <c r="DW62" s="81"/>
      <c r="DX62" s="81"/>
      <c r="DY62" s="81"/>
      <c r="DZ62" s="81"/>
      <c r="EA62" s="81"/>
      <c r="EB62" s="81"/>
    </row>
    <row r="63" spans="2:132" ht="17.100000000000001" customHeight="1">
      <c r="B63" s="92">
        <v>3</v>
      </c>
      <c r="C63" s="92" t="s">
        <v>655</v>
      </c>
      <c r="D63" s="93"/>
      <c r="E63" s="94"/>
      <c r="F63" s="94" t="s">
        <v>879</v>
      </c>
      <c r="G63" s="94"/>
      <c r="H63" s="95"/>
      <c r="I63" s="118" t="str">
        <f>IF(COUNTIF(I64:I65,"●")&gt;0,"●","")</f>
        <v>●</v>
      </c>
      <c r="J63" s="91" t="str">
        <f t="shared" ref="J63:L63" si="59">IF(COUNTIF(J64:J65,"●")&gt;0,"●","")</f>
        <v/>
      </c>
      <c r="K63" s="91" t="str">
        <f t="shared" ref="K63" si="60">IF(COUNTIF(K64:K65,"●")&gt;0,"●","")</f>
        <v/>
      </c>
      <c r="L63" s="144" t="str">
        <f t="shared" si="59"/>
        <v/>
      </c>
      <c r="M63" s="118" t="str">
        <f>IF(COUNTIF(M64:M65,"●")&gt;0,"●","")</f>
        <v/>
      </c>
      <c r="N63" s="91" t="str">
        <f t="shared" ref="N63:V63" si="61">IF(COUNTIF(N64:N65,"●")&gt;0,"●","")</f>
        <v>●</v>
      </c>
      <c r="O63" s="144" t="str">
        <f t="shared" si="61"/>
        <v/>
      </c>
      <c r="P63" s="144" t="str">
        <f t="shared" si="61"/>
        <v/>
      </c>
      <c r="Q63" s="144" t="str">
        <f t="shared" si="61"/>
        <v/>
      </c>
      <c r="R63" s="144" t="str">
        <f t="shared" si="61"/>
        <v/>
      </c>
      <c r="S63" s="144" t="str">
        <f t="shared" si="61"/>
        <v/>
      </c>
      <c r="T63" s="144" t="str">
        <f t="shared" si="61"/>
        <v/>
      </c>
      <c r="U63" s="144" t="str">
        <f t="shared" si="61"/>
        <v/>
      </c>
      <c r="V63" s="144" t="str">
        <f t="shared" si="61"/>
        <v/>
      </c>
      <c r="W63" s="96">
        <f>IF(MIN(W64:W65)=0,"",MIN(W64:W65))</f>
        <v>45117</v>
      </c>
      <c r="X63" s="97">
        <f ca="1">IF(AND(W63="",Y63="")=TRUE,"",IF(AND(W63&gt;0,Y63="")=TRUE,NETWORKDAYS(W63,TODAY(),Holidays),NETWORKDAYS(W63,Y63,Holidays)))</f>
        <v>8</v>
      </c>
      <c r="Y63" s="138">
        <f>IF(MAX(Y64:Y65)=0,"",MAX(Y64:Y65))</f>
        <v>45126</v>
      </c>
      <c r="Z63" s="96">
        <f>IF(MIN(Z64:Z65)=0,"",MIN(Z64:Z65))</f>
        <v>45117</v>
      </c>
      <c r="AA63" s="97">
        <f t="shared" ca="1" si="49"/>
        <v>232</v>
      </c>
      <c r="AB63" s="98" t="str">
        <f>IF(MAX(AB64:AB65)=0,"",MAX(AB64:AB65))</f>
        <v/>
      </c>
      <c r="AC63" s="99">
        <f>IFERROR(AVERAGE(AC64:AC65),"")</f>
        <v>0.2</v>
      </c>
      <c r="AD63" s="100" t="str">
        <f t="shared" si="50"/>
        <v>In-Progress</v>
      </c>
      <c r="AE63" s="101"/>
      <c r="AF63" s="80"/>
      <c r="AG63" s="81"/>
      <c r="AH63" s="81"/>
      <c r="AI63" s="81"/>
      <c r="AJ63" s="81"/>
      <c r="AK63" s="81"/>
      <c r="AL63" s="81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  <c r="BA63" s="81"/>
      <c r="BB63" s="81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81"/>
      <c r="CF63" s="81"/>
      <c r="CG63" s="81"/>
      <c r="CH63" s="81"/>
      <c r="CI63" s="81"/>
      <c r="CJ63" s="81"/>
      <c r="CK63" s="81"/>
      <c r="CL63" s="81"/>
      <c r="CM63" s="81"/>
      <c r="CN63" s="81"/>
      <c r="CO63" s="81"/>
      <c r="CP63" s="81"/>
      <c r="CQ63" s="81"/>
      <c r="CR63" s="81"/>
      <c r="CS63" s="81"/>
      <c r="CT63" s="81"/>
      <c r="CU63" s="81"/>
      <c r="CV63" s="81"/>
      <c r="CW63" s="81"/>
      <c r="CX63" s="81"/>
      <c r="CY63" s="81"/>
      <c r="CZ63" s="81"/>
      <c r="DA63" s="81"/>
      <c r="DB63" s="81"/>
      <c r="DC63" s="81"/>
      <c r="DD63" s="81"/>
      <c r="DE63" s="81"/>
      <c r="DF63" s="81"/>
      <c r="DG63" s="81"/>
      <c r="DH63" s="81"/>
      <c r="DI63" s="81"/>
      <c r="DJ63" s="81"/>
      <c r="DK63" s="81"/>
      <c r="DL63" s="81"/>
      <c r="DM63" s="81"/>
      <c r="DN63" s="81"/>
      <c r="DO63" s="81"/>
      <c r="DP63" s="81"/>
      <c r="DQ63" s="81"/>
      <c r="DR63" s="81"/>
      <c r="DS63" s="81"/>
      <c r="DT63" s="81"/>
      <c r="DU63" s="81"/>
      <c r="DV63" s="81"/>
      <c r="DW63" s="81"/>
      <c r="DX63" s="81"/>
      <c r="DY63" s="81"/>
      <c r="DZ63" s="81"/>
      <c r="EA63" s="81"/>
      <c r="EB63" s="81"/>
    </row>
    <row r="64" spans="2:132" ht="17.100000000000001" customHeight="1">
      <c r="B64" s="58">
        <v>4</v>
      </c>
      <c r="C64" s="58" t="s">
        <v>658</v>
      </c>
      <c r="D64" s="59"/>
      <c r="E64" s="60"/>
      <c r="F64" s="60"/>
      <c r="G64" s="60" t="s">
        <v>880</v>
      </c>
      <c r="H64" s="62"/>
      <c r="I64" s="145" t="s">
        <v>836</v>
      </c>
      <c r="J64" s="61"/>
      <c r="K64" s="61"/>
      <c r="L64" s="145"/>
      <c r="M64" s="123"/>
      <c r="N64" s="145" t="s">
        <v>836</v>
      </c>
      <c r="O64" s="145"/>
      <c r="P64" s="61"/>
      <c r="Q64" s="61"/>
      <c r="R64" s="61"/>
      <c r="S64" s="61"/>
      <c r="T64" s="61"/>
      <c r="U64" s="61"/>
      <c r="V64" s="63"/>
      <c r="W64" s="64">
        <v>45117</v>
      </c>
      <c r="X64" s="61">
        <v>5</v>
      </c>
      <c r="Y64" s="140">
        <f t="shared" ref="Y64:Y65" si="62">IF(AND(W64="",X64="")=TRUE,"",WORKDAY(W64,X64-1,Holidays))</f>
        <v>45121</v>
      </c>
      <c r="Z64" s="64">
        <v>45117</v>
      </c>
      <c r="AA64" s="126">
        <f t="shared" ca="1" si="49"/>
        <v>232</v>
      </c>
      <c r="AB64" s="65"/>
      <c r="AC64" s="66">
        <v>0.2</v>
      </c>
      <c r="AD64" s="125" t="str">
        <f t="shared" si="50"/>
        <v>In-Progress</v>
      </c>
      <c r="AE64" s="150"/>
      <c r="AF64" s="80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  <c r="BA64" s="81"/>
      <c r="BB64" s="81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81"/>
      <c r="CF64" s="81"/>
      <c r="CG64" s="81"/>
      <c r="CH64" s="81"/>
      <c r="CI64" s="81"/>
      <c r="CJ64" s="81"/>
      <c r="CK64" s="81"/>
      <c r="CL64" s="81"/>
      <c r="CM64" s="81"/>
      <c r="CN64" s="81"/>
      <c r="CO64" s="81"/>
      <c r="CP64" s="81"/>
      <c r="CQ64" s="81"/>
      <c r="CR64" s="81"/>
      <c r="CS64" s="81"/>
      <c r="CT64" s="81"/>
      <c r="CU64" s="81"/>
      <c r="CV64" s="81"/>
      <c r="CW64" s="81"/>
      <c r="CX64" s="81"/>
      <c r="CY64" s="81"/>
      <c r="CZ64" s="81"/>
      <c r="DA64" s="81"/>
      <c r="DB64" s="81"/>
      <c r="DC64" s="81"/>
      <c r="DD64" s="81"/>
      <c r="DE64" s="81"/>
      <c r="DF64" s="81"/>
      <c r="DG64" s="81"/>
      <c r="DH64" s="81"/>
      <c r="DI64" s="81"/>
      <c r="DJ64" s="81"/>
      <c r="DK64" s="81"/>
      <c r="DL64" s="81"/>
      <c r="DM64" s="81"/>
      <c r="DN64" s="81"/>
      <c r="DO64" s="81"/>
      <c r="DP64" s="81"/>
      <c r="DQ64" s="81"/>
      <c r="DR64" s="81"/>
      <c r="DS64" s="81"/>
      <c r="DT64" s="81"/>
      <c r="DU64" s="81"/>
      <c r="DV64" s="81"/>
      <c r="DW64" s="81"/>
      <c r="DX64" s="81"/>
      <c r="DY64" s="81"/>
      <c r="DZ64" s="81"/>
      <c r="EA64" s="81"/>
      <c r="EB64" s="81"/>
    </row>
    <row r="65" spans="2:132" ht="17.100000000000001" customHeight="1">
      <c r="B65" s="58">
        <v>4</v>
      </c>
      <c r="C65" s="58" t="s">
        <v>658</v>
      </c>
      <c r="D65" s="59"/>
      <c r="E65" s="60"/>
      <c r="F65" s="60"/>
      <c r="G65" s="60" t="s">
        <v>881</v>
      </c>
      <c r="H65" s="62"/>
      <c r="I65" s="145" t="s">
        <v>836</v>
      </c>
      <c r="J65" s="61"/>
      <c r="K65" s="61"/>
      <c r="L65" s="145"/>
      <c r="M65" s="123"/>
      <c r="N65" s="145" t="s">
        <v>836</v>
      </c>
      <c r="O65" s="145"/>
      <c r="P65" s="61"/>
      <c r="Q65" s="61"/>
      <c r="R65" s="61"/>
      <c r="S65" s="61"/>
      <c r="T65" s="61"/>
      <c r="U65" s="61"/>
      <c r="V65" s="63"/>
      <c r="W65" s="64">
        <v>45124</v>
      </c>
      <c r="X65" s="61">
        <v>3</v>
      </c>
      <c r="Y65" s="140">
        <f t="shared" si="62"/>
        <v>45126</v>
      </c>
      <c r="Z65" s="64">
        <v>45117</v>
      </c>
      <c r="AA65" s="126">
        <f t="shared" ca="1" si="49"/>
        <v>232</v>
      </c>
      <c r="AB65" s="65"/>
      <c r="AC65" s="66">
        <v>0.2</v>
      </c>
      <c r="AD65" s="125" t="str">
        <f t="shared" si="50"/>
        <v>In-Progress</v>
      </c>
      <c r="AE65" s="150"/>
      <c r="AF65" s="80"/>
      <c r="AG65" s="81"/>
      <c r="AH65" s="81"/>
      <c r="AI65" s="81"/>
      <c r="AJ65" s="81"/>
      <c r="AK65" s="81"/>
      <c r="AL65" s="81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  <c r="BA65" s="81"/>
      <c r="BB65" s="81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81"/>
      <c r="CF65" s="81"/>
      <c r="CG65" s="81"/>
      <c r="CH65" s="81"/>
      <c r="CI65" s="81"/>
      <c r="CJ65" s="81"/>
      <c r="CK65" s="81"/>
      <c r="CL65" s="81"/>
      <c r="CM65" s="81"/>
      <c r="CN65" s="81"/>
      <c r="CO65" s="81"/>
      <c r="CP65" s="81"/>
      <c r="CQ65" s="81"/>
      <c r="CR65" s="81"/>
      <c r="CS65" s="81"/>
      <c r="CT65" s="81"/>
      <c r="CU65" s="81"/>
      <c r="CV65" s="81"/>
      <c r="CW65" s="81"/>
      <c r="CX65" s="81"/>
      <c r="CY65" s="81"/>
      <c r="CZ65" s="81"/>
      <c r="DA65" s="81"/>
      <c r="DB65" s="81"/>
      <c r="DC65" s="81"/>
      <c r="DD65" s="81"/>
      <c r="DE65" s="81"/>
      <c r="DF65" s="81"/>
      <c r="DG65" s="81"/>
      <c r="DH65" s="81"/>
      <c r="DI65" s="81"/>
      <c r="DJ65" s="81"/>
      <c r="DK65" s="81"/>
      <c r="DL65" s="81"/>
      <c r="DM65" s="81"/>
      <c r="DN65" s="81"/>
      <c r="DO65" s="81"/>
      <c r="DP65" s="81"/>
      <c r="DQ65" s="81"/>
      <c r="DR65" s="81"/>
      <c r="DS65" s="81"/>
      <c r="DT65" s="81"/>
      <c r="DU65" s="81"/>
      <c r="DV65" s="81"/>
      <c r="DW65" s="81"/>
      <c r="DX65" s="81"/>
      <c r="DY65" s="81"/>
      <c r="DZ65" s="81"/>
      <c r="EA65" s="81"/>
      <c r="EB65" s="81"/>
    </row>
    <row r="66" spans="2:132" ht="17.100000000000001" customHeight="1">
      <c r="B66" s="92">
        <v>3</v>
      </c>
      <c r="C66" s="92" t="s">
        <v>655</v>
      </c>
      <c r="D66" s="93"/>
      <c r="E66" s="94"/>
      <c r="F66" s="94" t="s">
        <v>882</v>
      </c>
      <c r="G66" s="94"/>
      <c r="H66" s="95"/>
      <c r="I66" s="118" t="str">
        <f>IF(COUNTIF(I67:I72,"●")&gt;0,"●","")</f>
        <v/>
      </c>
      <c r="J66" s="91" t="str">
        <f t="shared" ref="J66:L66" si="63">IF(COUNTIF(J67:J72,"●")&gt;0,"●","")</f>
        <v>●</v>
      </c>
      <c r="K66" s="91" t="str">
        <f t="shared" ref="K66" si="64">IF(COUNTIF(K67:K72,"●")&gt;0,"●","")</f>
        <v/>
      </c>
      <c r="L66" s="144" t="str">
        <f t="shared" si="63"/>
        <v/>
      </c>
      <c r="M66" s="118" t="str">
        <f>IF(COUNTIF(M67:M72,"●")&gt;0,"●","")</f>
        <v/>
      </c>
      <c r="N66" s="91" t="str">
        <f t="shared" ref="N66:V66" si="65">IF(COUNTIF(N67:N72,"●")&gt;0,"●","")</f>
        <v>●</v>
      </c>
      <c r="O66" s="144" t="str">
        <f t="shared" si="65"/>
        <v/>
      </c>
      <c r="P66" s="144" t="str">
        <f t="shared" si="65"/>
        <v/>
      </c>
      <c r="Q66" s="144" t="str">
        <f t="shared" si="65"/>
        <v/>
      </c>
      <c r="R66" s="144" t="str">
        <f t="shared" si="65"/>
        <v/>
      </c>
      <c r="S66" s="144" t="str">
        <f t="shared" si="65"/>
        <v/>
      </c>
      <c r="T66" s="144" t="str">
        <f t="shared" si="65"/>
        <v/>
      </c>
      <c r="U66" s="144" t="str">
        <f t="shared" si="65"/>
        <v/>
      </c>
      <c r="V66" s="144" t="str">
        <f t="shared" si="65"/>
        <v/>
      </c>
      <c r="W66" s="96">
        <f>IF(MIN(W67:W72)=0,"",MIN(W67:W72))</f>
        <v>45127</v>
      </c>
      <c r="X66" s="97">
        <f ca="1">IF(AND(W66="",Y66="")=TRUE,"",IF(AND(W66&gt;0,Y66="")=TRUE,NETWORKDAYS(W66,TODAY(),Holidays),NETWORKDAYS(W66,Y66,Holidays)))</f>
        <v>15</v>
      </c>
      <c r="Y66" s="138">
        <f>IF(MAX(Y67:Y72)=0,"",MAX(Y67:Y72))</f>
        <v>45147</v>
      </c>
      <c r="Z66" s="96">
        <f>IF(MIN(Z67:Z72)=0,"",MIN(Z67:Z72))</f>
        <v>45117</v>
      </c>
      <c r="AA66" s="97">
        <f t="shared" ca="1" si="49"/>
        <v>232</v>
      </c>
      <c r="AB66" s="98" t="str">
        <f>IF(MAX(AB67:AB72)=0,"",MAX(AB67:AB72))</f>
        <v/>
      </c>
      <c r="AC66" s="99">
        <f>IFERROR(AVERAGE(AC67:AC72),"")</f>
        <v>5.000000000000001E-2</v>
      </c>
      <c r="AD66" s="100" t="str">
        <f t="shared" si="50"/>
        <v>In-Progress</v>
      </c>
      <c r="AE66" s="101"/>
      <c r="AF66" s="80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  <c r="BA66" s="81"/>
      <c r="BB66" s="81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81"/>
      <c r="CF66" s="81"/>
      <c r="CG66" s="81"/>
      <c r="CH66" s="81"/>
      <c r="CI66" s="81"/>
      <c r="CJ66" s="81"/>
      <c r="CK66" s="81"/>
      <c r="CL66" s="81"/>
      <c r="CM66" s="81"/>
      <c r="CN66" s="81"/>
      <c r="CO66" s="81"/>
      <c r="CP66" s="81"/>
      <c r="CQ66" s="81"/>
      <c r="CR66" s="81"/>
      <c r="CS66" s="81"/>
      <c r="CT66" s="81"/>
      <c r="CU66" s="81"/>
      <c r="CV66" s="81"/>
      <c r="CW66" s="81"/>
      <c r="CX66" s="81"/>
      <c r="CY66" s="81"/>
      <c r="CZ66" s="81"/>
      <c r="DA66" s="81"/>
      <c r="DB66" s="81"/>
      <c r="DC66" s="81"/>
      <c r="DD66" s="81"/>
      <c r="DE66" s="81"/>
      <c r="DF66" s="81"/>
      <c r="DG66" s="81"/>
      <c r="DH66" s="81"/>
      <c r="DI66" s="81"/>
      <c r="DJ66" s="81"/>
      <c r="DK66" s="81"/>
      <c r="DL66" s="81"/>
      <c r="DM66" s="81"/>
      <c r="DN66" s="81"/>
      <c r="DO66" s="81"/>
      <c r="DP66" s="81"/>
      <c r="DQ66" s="81"/>
      <c r="DR66" s="81"/>
      <c r="DS66" s="81"/>
      <c r="DT66" s="81"/>
      <c r="DU66" s="81"/>
      <c r="DV66" s="81"/>
      <c r="DW66" s="81"/>
      <c r="DX66" s="81"/>
      <c r="DY66" s="81"/>
      <c r="DZ66" s="81"/>
      <c r="EA66" s="81"/>
      <c r="EB66" s="81"/>
    </row>
    <row r="67" spans="2:132" ht="17.100000000000001" customHeight="1">
      <c r="B67" s="58">
        <v>4</v>
      </c>
      <c r="C67" s="58" t="s">
        <v>658</v>
      </c>
      <c r="D67" s="59"/>
      <c r="E67" s="60"/>
      <c r="F67" s="60"/>
      <c r="G67" s="60" t="s">
        <v>883</v>
      </c>
      <c r="H67" s="62"/>
      <c r="I67" s="123"/>
      <c r="J67" s="145" t="s">
        <v>836</v>
      </c>
      <c r="K67" s="61"/>
      <c r="L67" s="145"/>
      <c r="M67" s="123"/>
      <c r="N67" s="145" t="s">
        <v>836</v>
      </c>
      <c r="O67" s="145"/>
      <c r="P67" s="61"/>
      <c r="Q67" s="61"/>
      <c r="R67" s="61"/>
      <c r="S67" s="61"/>
      <c r="T67" s="61"/>
      <c r="U67" s="61"/>
      <c r="V67" s="63"/>
      <c r="W67" s="64">
        <v>45127</v>
      </c>
      <c r="X67" s="61">
        <v>3</v>
      </c>
      <c r="Y67" s="140">
        <f t="shared" ref="Y67:Y72" si="66">IF(AND(W67="",X67="")=TRUE,"",WORKDAY(W67,X67-1,Holidays))</f>
        <v>45131</v>
      </c>
      <c r="Z67" s="64">
        <v>45117</v>
      </c>
      <c r="AA67" s="126">
        <f t="shared" ca="1" si="49"/>
        <v>232</v>
      </c>
      <c r="AB67" s="65"/>
      <c r="AC67" s="66">
        <v>0.1</v>
      </c>
      <c r="AD67" s="125" t="str">
        <f t="shared" si="50"/>
        <v>In-Progress</v>
      </c>
      <c r="AE67" s="150"/>
      <c r="AF67" s="80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1"/>
      <c r="CI67" s="81"/>
      <c r="CJ67" s="81"/>
      <c r="CK67" s="81"/>
      <c r="CL67" s="81"/>
      <c r="CM67" s="81"/>
      <c r="CN67" s="81"/>
      <c r="CO67" s="81"/>
      <c r="CP67" s="81"/>
      <c r="CQ67" s="81"/>
      <c r="CR67" s="81"/>
      <c r="CS67" s="81"/>
      <c r="CT67" s="81"/>
      <c r="CU67" s="81"/>
      <c r="CV67" s="81"/>
      <c r="CW67" s="81"/>
      <c r="CX67" s="81"/>
      <c r="CY67" s="81"/>
      <c r="CZ67" s="81"/>
      <c r="DA67" s="81"/>
      <c r="DB67" s="81"/>
      <c r="DC67" s="81"/>
      <c r="DD67" s="81"/>
      <c r="DE67" s="81"/>
      <c r="DF67" s="81"/>
      <c r="DG67" s="81"/>
      <c r="DH67" s="81"/>
      <c r="DI67" s="81"/>
      <c r="DJ67" s="81"/>
      <c r="DK67" s="81"/>
      <c r="DL67" s="81"/>
      <c r="DM67" s="81"/>
      <c r="DN67" s="81"/>
      <c r="DO67" s="81"/>
      <c r="DP67" s="81"/>
      <c r="DQ67" s="81"/>
      <c r="DR67" s="81"/>
      <c r="DS67" s="81"/>
      <c r="DT67" s="81"/>
      <c r="DU67" s="81"/>
      <c r="DV67" s="81"/>
      <c r="DW67" s="81"/>
      <c r="DX67" s="81"/>
      <c r="DY67" s="81"/>
      <c r="DZ67" s="81"/>
      <c r="EA67" s="81"/>
      <c r="EB67" s="81"/>
    </row>
    <row r="68" spans="2:132" ht="17.100000000000001" customHeight="1">
      <c r="B68" s="58">
        <v>4</v>
      </c>
      <c r="C68" s="58" t="s">
        <v>658</v>
      </c>
      <c r="D68" s="59"/>
      <c r="E68" s="60"/>
      <c r="F68" s="60"/>
      <c r="G68" s="60" t="s">
        <v>884</v>
      </c>
      <c r="H68" s="62"/>
      <c r="I68" s="123"/>
      <c r="J68" s="145" t="s">
        <v>836</v>
      </c>
      <c r="K68" s="61"/>
      <c r="L68" s="145"/>
      <c r="M68" s="123"/>
      <c r="N68" s="145" t="s">
        <v>836</v>
      </c>
      <c r="O68" s="145"/>
      <c r="P68" s="61"/>
      <c r="Q68" s="61"/>
      <c r="R68" s="61"/>
      <c r="S68" s="61"/>
      <c r="T68" s="61"/>
      <c r="U68" s="61"/>
      <c r="V68" s="63"/>
      <c r="W68" s="64">
        <v>45132</v>
      </c>
      <c r="X68" s="61">
        <v>3</v>
      </c>
      <c r="Y68" s="140">
        <f t="shared" si="66"/>
        <v>45134</v>
      </c>
      <c r="Z68" s="64">
        <v>45117</v>
      </c>
      <c r="AA68" s="126">
        <f t="shared" ca="1" si="49"/>
        <v>232</v>
      </c>
      <c r="AB68" s="65"/>
      <c r="AC68" s="66">
        <v>0.1</v>
      </c>
      <c r="AD68" s="125" t="str">
        <f t="shared" si="50"/>
        <v>In-Progress</v>
      </c>
      <c r="AE68" s="150"/>
      <c r="AF68" s="80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81"/>
      <c r="CF68" s="81"/>
      <c r="CG68" s="81"/>
      <c r="CH68" s="81"/>
      <c r="CI68" s="81"/>
      <c r="CJ68" s="81"/>
      <c r="CK68" s="81"/>
      <c r="CL68" s="81"/>
      <c r="CM68" s="81"/>
      <c r="CN68" s="81"/>
      <c r="CO68" s="81"/>
      <c r="CP68" s="81"/>
      <c r="CQ68" s="81"/>
      <c r="CR68" s="81"/>
      <c r="CS68" s="81"/>
      <c r="CT68" s="81"/>
      <c r="CU68" s="81"/>
      <c r="CV68" s="81"/>
      <c r="CW68" s="81"/>
      <c r="CX68" s="81"/>
      <c r="CY68" s="81"/>
      <c r="CZ68" s="81"/>
      <c r="DA68" s="81"/>
      <c r="DB68" s="81"/>
      <c r="DC68" s="81"/>
      <c r="DD68" s="81"/>
      <c r="DE68" s="81"/>
      <c r="DF68" s="81"/>
      <c r="DG68" s="81"/>
      <c r="DH68" s="81"/>
      <c r="DI68" s="81"/>
      <c r="DJ68" s="81"/>
      <c r="DK68" s="81"/>
      <c r="DL68" s="81"/>
      <c r="DM68" s="81"/>
      <c r="DN68" s="81"/>
      <c r="DO68" s="81"/>
      <c r="DP68" s="81"/>
      <c r="DQ68" s="81"/>
      <c r="DR68" s="81"/>
      <c r="DS68" s="81"/>
      <c r="DT68" s="81"/>
      <c r="DU68" s="81"/>
      <c r="DV68" s="81"/>
      <c r="DW68" s="81"/>
      <c r="DX68" s="81"/>
      <c r="DY68" s="81"/>
      <c r="DZ68" s="81"/>
      <c r="EA68" s="81"/>
      <c r="EB68" s="81"/>
    </row>
    <row r="69" spans="2:132" ht="17.100000000000001" customHeight="1">
      <c r="B69" s="58">
        <v>4</v>
      </c>
      <c r="C69" s="58" t="s">
        <v>658</v>
      </c>
      <c r="D69" s="59"/>
      <c r="E69" s="60"/>
      <c r="F69" s="60"/>
      <c r="G69" s="60" t="s">
        <v>885</v>
      </c>
      <c r="H69" s="62"/>
      <c r="I69" s="123"/>
      <c r="J69" s="145" t="s">
        <v>836</v>
      </c>
      <c r="K69" s="61"/>
      <c r="L69" s="145"/>
      <c r="M69" s="123"/>
      <c r="N69" s="145" t="s">
        <v>836</v>
      </c>
      <c r="O69" s="145"/>
      <c r="P69" s="61"/>
      <c r="Q69" s="61"/>
      <c r="R69" s="61"/>
      <c r="S69" s="61"/>
      <c r="T69" s="61"/>
      <c r="U69" s="61"/>
      <c r="V69" s="63"/>
      <c r="W69" s="64">
        <v>45135</v>
      </c>
      <c r="X69" s="61">
        <v>3</v>
      </c>
      <c r="Y69" s="140">
        <f t="shared" si="66"/>
        <v>45139</v>
      </c>
      <c r="Z69" s="64">
        <v>45117</v>
      </c>
      <c r="AA69" s="126">
        <f t="shared" ca="1" si="49"/>
        <v>232</v>
      </c>
      <c r="AB69" s="65"/>
      <c r="AC69" s="66">
        <v>0.1</v>
      </c>
      <c r="AD69" s="125" t="str">
        <f t="shared" si="50"/>
        <v>In-Progress</v>
      </c>
      <c r="AE69" s="150"/>
      <c r="AF69" s="80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  <c r="BA69" s="81"/>
      <c r="BB69" s="81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81"/>
      <c r="CF69" s="81"/>
      <c r="CG69" s="81"/>
      <c r="CH69" s="81"/>
      <c r="CI69" s="81"/>
      <c r="CJ69" s="81"/>
      <c r="CK69" s="81"/>
      <c r="CL69" s="81"/>
      <c r="CM69" s="81"/>
      <c r="CN69" s="81"/>
      <c r="CO69" s="81"/>
      <c r="CP69" s="81"/>
      <c r="CQ69" s="81"/>
      <c r="CR69" s="81"/>
      <c r="CS69" s="81"/>
      <c r="CT69" s="81"/>
      <c r="CU69" s="81"/>
      <c r="CV69" s="81"/>
      <c r="CW69" s="81"/>
      <c r="CX69" s="81"/>
      <c r="CY69" s="81"/>
      <c r="CZ69" s="81"/>
      <c r="DA69" s="81"/>
      <c r="DB69" s="81"/>
      <c r="DC69" s="81"/>
      <c r="DD69" s="81"/>
      <c r="DE69" s="81"/>
      <c r="DF69" s="81"/>
      <c r="DG69" s="81"/>
      <c r="DH69" s="81"/>
      <c r="DI69" s="81"/>
      <c r="DJ69" s="81"/>
      <c r="DK69" s="81"/>
      <c r="DL69" s="81"/>
      <c r="DM69" s="81"/>
      <c r="DN69" s="81"/>
      <c r="DO69" s="81"/>
      <c r="DP69" s="81"/>
      <c r="DQ69" s="81"/>
      <c r="DR69" s="81"/>
      <c r="DS69" s="81"/>
      <c r="DT69" s="81"/>
      <c r="DU69" s="81"/>
      <c r="DV69" s="81"/>
      <c r="DW69" s="81"/>
      <c r="DX69" s="81"/>
      <c r="DY69" s="81"/>
      <c r="DZ69" s="81"/>
      <c r="EA69" s="81"/>
      <c r="EB69" s="81"/>
    </row>
    <row r="70" spans="2:132" ht="17.100000000000001" customHeight="1">
      <c r="B70" s="58">
        <v>4</v>
      </c>
      <c r="C70" s="58" t="s">
        <v>658</v>
      </c>
      <c r="D70" s="59"/>
      <c r="E70" s="60"/>
      <c r="F70" s="60"/>
      <c r="G70" s="60" t="s">
        <v>886</v>
      </c>
      <c r="H70" s="62"/>
      <c r="I70" s="123"/>
      <c r="J70" s="145" t="s">
        <v>836</v>
      </c>
      <c r="K70" s="61"/>
      <c r="L70" s="145"/>
      <c r="M70" s="123"/>
      <c r="N70" s="145" t="s">
        <v>836</v>
      </c>
      <c r="O70" s="145"/>
      <c r="P70" s="61"/>
      <c r="Q70" s="61"/>
      <c r="R70" s="61"/>
      <c r="S70" s="61"/>
      <c r="T70" s="61"/>
      <c r="U70" s="61"/>
      <c r="V70" s="63"/>
      <c r="W70" s="64">
        <v>45140</v>
      </c>
      <c r="X70" s="61">
        <v>2</v>
      </c>
      <c r="Y70" s="140">
        <f t="shared" si="66"/>
        <v>45141</v>
      </c>
      <c r="Z70" s="64"/>
      <c r="AA70" s="126" t="str">
        <f t="shared" ca="1" si="49"/>
        <v/>
      </c>
      <c r="AB70" s="65"/>
      <c r="AC70" s="66">
        <v>0</v>
      </c>
      <c r="AD70" s="125" t="str">
        <f t="shared" si="50"/>
        <v>Open</v>
      </c>
      <c r="AE70" s="150"/>
      <c r="AF70" s="80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  <c r="BA70" s="81"/>
      <c r="BB70" s="81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81"/>
      <c r="CF70" s="81"/>
      <c r="CG70" s="81"/>
      <c r="CH70" s="81"/>
      <c r="CI70" s="81"/>
      <c r="CJ70" s="81"/>
      <c r="CK70" s="81"/>
      <c r="CL70" s="81"/>
      <c r="CM70" s="81"/>
      <c r="CN70" s="81"/>
      <c r="CO70" s="81"/>
      <c r="CP70" s="81"/>
      <c r="CQ70" s="81"/>
      <c r="CR70" s="81"/>
      <c r="CS70" s="81"/>
      <c r="CT70" s="81"/>
      <c r="CU70" s="81"/>
      <c r="CV70" s="81"/>
      <c r="CW70" s="81"/>
      <c r="CX70" s="81"/>
      <c r="CY70" s="81"/>
      <c r="CZ70" s="81"/>
      <c r="DA70" s="81"/>
      <c r="DB70" s="81"/>
      <c r="DC70" s="81"/>
      <c r="DD70" s="81"/>
      <c r="DE70" s="81"/>
      <c r="DF70" s="81"/>
      <c r="DG70" s="81"/>
      <c r="DH70" s="81"/>
      <c r="DI70" s="81"/>
      <c r="DJ70" s="81"/>
      <c r="DK70" s="81"/>
      <c r="DL70" s="81"/>
      <c r="DM70" s="81"/>
      <c r="DN70" s="81"/>
      <c r="DO70" s="81"/>
      <c r="DP70" s="81"/>
      <c r="DQ70" s="81"/>
      <c r="DR70" s="81"/>
      <c r="DS70" s="81"/>
      <c r="DT70" s="81"/>
      <c r="DU70" s="81"/>
      <c r="DV70" s="81"/>
      <c r="DW70" s="81"/>
      <c r="DX70" s="81"/>
      <c r="DY70" s="81"/>
      <c r="DZ70" s="81"/>
      <c r="EA70" s="81"/>
      <c r="EB70" s="81"/>
    </row>
    <row r="71" spans="2:132" ht="17.100000000000001" customHeight="1">
      <c r="B71" s="58">
        <v>4</v>
      </c>
      <c r="C71" s="58" t="s">
        <v>658</v>
      </c>
      <c r="D71" s="59"/>
      <c r="E71" s="60"/>
      <c r="F71" s="60"/>
      <c r="G71" s="60" t="s">
        <v>887</v>
      </c>
      <c r="H71" s="62"/>
      <c r="I71" s="123"/>
      <c r="J71" s="145" t="s">
        <v>836</v>
      </c>
      <c r="K71" s="61"/>
      <c r="L71" s="145"/>
      <c r="M71" s="123"/>
      <c r="N71" s="145" t="s">
        <v>836</v>
      </c>
      <c r="O71" s="145"/>
      <c r="P71" s="61"/>
      <c r="Q71" s="61"/>
      <c r="R71" s="61"/>
      <c r="S71" s="61"/>
      <c r="T71" s="61"/>
      <c r="U71" s="61"/>
      <c r="V71" s="63"/>
      <c r="W71" s="64">
        <v>45142</v>
      </c>
      <c r="X71" s="61">
        <v>2</v>
      </c>
      <c r="Y71" s="140">
        <f t="shared" si="66"/>
        <v>45145</v>
      </c>
      <c r="Z71" s="64"/>
      <c r="AA71" s="126" t="str">
        <f t="shared" ca="1" si="49"/>
        <v/>
      </c>
      <c r="AB71" s="65"/>
      <c r="AC71" s="66">
        <v>0</v>
      </c>
      <c r="AD71" s="125" t="str">
        <f t="shared" si="50"/>
        <v>Open</v>
      </c>
      <c r="AE71" s="150"/>
      <c r="AF71" s="80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  <c r="BA71" s="81"/>
      <c r="BB71" s="81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81"/>
      <c r="CF71" s="81"/>
      <c r="CG71" s="81"/>
      <c r="CH71" s="81"/>
      <c r="CI71" s="81"/>
      <c r="CJ71" s="81"/>
      <c r="CK71" s="81"/>
      <c r="CL71" s="81"/>
      <c r="CM71" s="81"/>
      <c r="CN71" s="81"/>
      <c r="CO71" s="81"/>
      <c r="CP71" s="81"/>
      <c r="CQ71" s="81"/>
      <c r="CR71" s="81"/>
      <c r="CS71" s="81"/>
      <c r="CT71" s="81"/>
      <c r="CU71" s="81"/>
      <c r="CV71" s="81"/>
      <c r="CW71" s="81"/>
      <c r="CX71" s="81"/>
      <c r="CY71" s="81"/>
      <c r="CZ71" s="81"/>
      <c r="DA71" s="81"/>
      <c r="DB71" s="81"/>
      <c r="DC71" s="81"/>
      <c r="DD71" s="81"/>
      <c r="DE71" s="81"/>
      <c r="DF71" s="81"/>
      <c r="DG71" s="81"/>
      <c r="DH71" s="81"/>
      <c r="DI71" s="81"/>
      <c r="DJ71" s="81"/>
      <c r="DK71" s="81"/>
      <c r="DL71" s="81"/>
      <c r="DM71" s="81"/>
      <c r="DN71" s="81"/>
      <c r="DO71" s="81"/>
      <c r="DP71" s="81"/>
      <c r="DQ71" s="81"/>
      <c r="DR71" s="81"/>
      <c r="DS71" s="81"/>
      <c r="DT71" s="81"/>
      <c r="DU71" s="81"/>
      <c r="DV71" s="81"/>
      <c r="DW71" s="81"/>
      <c r="DX71" s="81"/>
      <c r="DY71" s="81"/>
      <c r="DZ71" s="81"/>
      <c r="EA71" s="81"/>
      <c r="EB71" s="81"/>
    </row>
    <row r="72" spans="2:132" ht="17.100000000000001" customHeight="1">
      <c r="B72" s="58">
        <v>4</v>
      </c>
      <c r="C72" s="58" t="s">
        <v>658</v>
      </c>
      <c r="D72" s="59"/>
      <c r="E72" s="60"/>
      <c r="F72" s="60"/>
      <c r="G72" s="60" t="s">
        <v>888</v>
      </c>
      <c r="H72" s="62"/>
      <c r="I72" s="123"/>
      <c r="J72" s="145" t="s">
        <v>836</v>
      </c>
      <c r="K72" s="61"/>
      <c r="L72" s="145"/>
      <c r="M72" s="123"/>
      <c r="N72" s="145" t="s">
        <v>836</v>
      </c>
      <c r="O72" s="145"/>
      <c r="P72" s="61"/>
      <c r="Q72" s="61"/>
      <c r="R72" s="61"/>
      <c r="S72" s="61"/>
      <c r="T72" s="61"/>
      <c r="U72" s="61"/>
      <c r="V72" s="63"/>
      <c r="W72" s="64">
        <v>45146</v>
      </c>
      <c r="X72" s="61">
        <v>2</v>
      </c>
      <c r="Y72" s="140">
        <f t="shared" si="66"/>
        <v>45147</v>
      </c>
      <c r="Z72" s="64"/>
      <c r="AA72" s="126" t="str">
        <f t="shared" ca="1" si="49"/>
        <v/>
      </c>
      <c r="AB72" s="65"/>
      <c r="AC72" s="66">
        <v>0</v>
      </c>
      <c r="AD72" s="125" t="str">
        <f t="shared" si="50"/>
        <v>Open</v>
      </c>
      <c r="AE72" s="150"/>
      <c r="AF72" s="80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  <c r="BA72" s="81"/>
      <c r="BB72" s="81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81"/>
      <c r="CF72" s="81"/>
      <c r="CG72" s="81"/>
      <c r="CH72" s="81"/>
      <c r="CI72" s="81"/>
      <c r="CJ72" s="81"/>
      <c r="CK72" s="81"/>
      <c r="CL72" s="81"/>
      <c r="CM72" s="81"/>
      <c r="CN72" s="81"/>
      <c r="CO72" s="81"/>
      <c r="CP72" s="81"/>
      <c r="CQ72" s="81"/>
      <c r="CR72" s="81"/>
      <c r="CS72" s="81"/>
      <c r="CT72" s="81"/>
      <c r="CU72" s="81"/>
      <c r="CV72" s="81"/>
      <c r="CW72" s="81"/>
      <c r="CX72" s="81"/>
      <c r="CY72" s="81"/>
      <c r="CZ72" s="81"/>
      <c r="DA72" s="81"/>
      <c r="DB72" s="81"/>
      <c r="DC72" s="81"/>
      <c r="DD72" s="81"/>
      <c r="DE72" s="81"/>
      <c r="DF72" s="81"/>
      <c r="DG72" s="81"/>
      <c r="DH72" s="81"/>
      <c r="DI72" s="81"/>
      <c r="DJ72" s="81"/>
      <c r="DK72" s="81"/>
      <c r="DL72" s="81"/>
      <c r="DM72" s="81"/>
      <c r="DN72" s="81"/>
      <c r="DO72" s="81"/>
      <c r="DP72" s="81"/>
      <c r="DQ72" s="81"/>
      <c r="DR72" s="81"/>
      <c r="DS72" s="81"/>
      <c r="DT72" s="81"/>
      <c r="DU72" s="81"/>
      <c r="DV72" s="81"/>
      <c r="DW72" s="81"/>
      <c r="DX72" s="81"/>
      <c r="DY72" s="81"/>
      <c r="DZ72" s="81"/>
      <c r="EA72" s="81"/>
      <c r="EB72" s="81"/>
    </row>
    <row r="73" spans="2:132" ht="17.100000000000001" customHeight="1">
      <c r="B73" s="92">
        <v>3</v>
      </c>
      <c r="C73" s="92" t="s">
        <v>655</v>
      </c>
      <c r="D73" s="93"/>
      <c r="E73" s="94"/>
      <c r="F73" s="94" t="s">
        <v>889</v>
      </c>
      <c r="G73" s="94"/>
      <c r="H73" s="95"/>
      <c r="I73" s="118" t="str">
        <f>IF(COUNTIF(I74:I76,"●")&gt;0,"●","")</f>
        <v/>
      </c>
      <c r="J73" s="91" t="str">
        <f t="shared" ref="J73:L73" si="67">IF(COUNTIF(J74:J76,"●")&gt;0,"●","")</f>
        <v/>
      </c>
      <c r="K73" s="91" t="str">
        <f t="shared" ref="K73" si="68">IF(COUNTIF(K74:K76,"●")&gt;0,"●","")</f>
        <v/>
      </c>
      <c r="L73" s="144" t="str">
        <f t="shared" si="67"/>
        <v/>
      </c>
      <c r="M73" s="118" t="str">
        <f>IF(COUNTIF(M74:M76,"●")&gt;0,"●","")</f>
        <v/>
      </c>
      <c r="N73" s="91" t="str">
        <f t="shared" ref="N73:V73" si="69">IF(COUNTIF(N74:N76,"●")&gt;0,"●","")</f>
        <v>●</v>
      </c>
      <c r="O73" s="144" t="str">
        <f t="shared" si="69"/>
        <v/>
      </c>
      <c r="P73" s="144" t="str">
        <f t="shared" si="69"/>
        <v/>
      </c>
      <c r="Q73" s="144" t="str">
        <f t="shared" si="69"/>
        <v/>
      </c>
      <c r="R73" s="144" t="str">
        <f t="shared" si="69"/>
        <v/>
      </c>
      <c r="S73" s="144" t="str">
        <f t="shared" si="69"/>
        <v/>
      </c>
      <c r="T73" s="144" t="str">
        <f t="shared" si="69"/>
        <v/>
      </c>
      <c r="U73" s="144" t="str">
        <f t="shared" si="69"/>
        <v/>
      </c>
      <c r="V73" s="144" t="str">
        <f t="shared" si="69"/>
        <v/>
      </c>
      <c r="W73" s="96">
        <f>IF(MIN(W74:W76)=0,"",MIN(W74:W76))</f>
        <v>45148</v>
      </c>
      <c r="X73" s="97">
        <f ca="1">IF(AND(W73="",Y73="")=TRUE,"",IF(AND(W73&gt;0,Y73="")=TRUE,NETWORKDAYS(W73,TODAY(),Holidays),NETWORKDAYS(W73,Y73,Holidays)))</f>
        <v>11</v>
      </c>
      <c r="Y73" s="138">
        <f>IF(MAX(Y74:Y76)=0,"",MAX(Y74:Y76))</f>
        <v>45163</v>
      </c>
      <c r="Z73" s="96" t="str">
        <f>IF(MIN(Z74:Z76)=0,"",MIN(Z74:Z76))</f>
        <v/>
      </c>
      <c r="AA73" s="97" t="str">
        <f t="shared" ca="1" si="49"/>
        <v/>
      </c>
      <c r="AB73" s="98" t="str">
        <f>IF(MAX(AB74:AB76)=0,"",MAX(AB74:AB76))</f>
        <v/>
      </c>
      <c r="AC73" s="99">
        <f>IFERROR(AVERAGE(AC74:AC76),"")</f>
        <v>0</v>
      </c>
      <c r="AD73" s="100" t="str">
        <f t="shared" si="50"/>
        <v>Open</v>
      </c>
      <c r="AE73" s="101"/>
      <c r="AF73" s="80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  <c r="BA73" s="81"/>
      <c r="BB73" s="81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81"/>
      <c r="CF73" s="81"/>
      <c r="CG73" s="81"/>
      <c r="CH73" s="81"/>
      <c r="CI73" s="81"/>
      <c r="CJ73" s="81"/>
      <c r="CK73" s="81"/>
      <c r="CL73" s="81"/>
      <c r="CM73" s="81"/>
      <c r="CN73" s="81"/>
      <c r="CO73" s="81"/>
      <c r="CP73" s="81"/>
      <c r="CQ73" s="81"/>
      <c r="CR73" s="81"/>
      <c r="CS73" s="81"/>
      <c r="CT73" s="81"/>
      <c r="CU73" s="81"/>
      <c r="CV73" s="81"/>
      <c r="CW73" s="81"/>
      <c r="CX73" s="81"/>
      <c r="CY73" s="81"/>
      <c r="CZ73" s="81"/>
      <c r="DA73" s="81"/>
      <c r="DB73" s="81"/>
      <c r="DC73" s="81"/>
      <c r="DD73" s="81"/>
      <c r="DE73" s="81"/>
      <c r="DF73" s="81"/>
      <c r="DG73" s="81"/>
      <c r="DH73" s="81"/>
      <c r="DI73" s="81"/>
      <c r="DJ73" s="81"/>
      <c r="DK73" s="81"/>
      <c r="DL73" s="81"/>
      <c r="DM73" s="81"/>
      <c r="DN73" s="81"/>
      <c r="DO73" s="81"/>
      <c r="DP73" s="81"/>
      <c r="DQ73" s="81"/>
      <c r="DR73" s="81"/>
      <c r="DS73" s="81"/>
      <c r="DT73" s="81"/>
      <c r="DU73" s="81"/>
      <c r="DV73" s="81"/>
      <c r="DW73" s="81"/>
      <c r="DX73" s="81"/>
      <c r="DY73" s="81"/>
      <c r="DZ73" s="81"/>
      <c r="EA73" s="81"/>
      <c r="EB73" s="81"/>
    </row>
    <row r="74" spans="2:132" ht="17.100000000000001" customHeight="1">
      <c r="B74" s="58">
        <v>4</v>
      </c>
      <c r="C74" s="58" t="s">
        <v>658</v>
      </c>
      <c r="D74" s="59"/>
      <c r="E74" s="60"/>
      <c r="F74" s="60"/>
      <c r="G74" s="60" t="s">
        <v>890</v>
      </c>
      <c r="H74" s="62"/>
      <c r="I74" s="123"/>
      <c r="J74" s="61"/>
      <c r="K74" s="61"/>
      <c r="L74" s="145"/>
      <c r="M74" s="123"/>
      <c r="N74" s="145" t="s">
        <v>836</v>
      </c>
      <c r="O74" s="145"/>
      <c r="P74" s="61"/>
      <c r="Q74" s="61"/>
      <c r="R74" s="61"/>
      <c r="S74" s="61"/>
      <c r="T74" s="61"/>
      <c r="U74" s="61"/>
      <c r="V74" s="63"/>
      <c r="W74" s="64">
        <v>45148</v>
      </c>
      <c r="X74" s="61">
        <v>3</v>
      </c>
      <c r="Y74" s="140">
        <f t="shared" ref="Y74:Y75" si="70">IF(AND(W74="",X74="")=TRUE,"",WORKDAY(W74,X74-1,Holidays))</f>
        <v>45152</v>
      </c>
      <c r="Z74" s="64"/>
      <c r="AA74" s="126" t="str">
        <f t="shared" ca="1" si="49"/>
        <v/>
      </c>
      <c r="AB74" s="65"/>
      <c r="AC74" s="66">
        <v>0</v>
      </c>
      <c r="AD74" s="125" t="str">
        <f t="shared" si="50"/>
        <v>Open</v>
      </c>
      <c r="AE74" s="150"/>
      <c r="AF74" s="80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  <c r="BA74" s="81"/>
      <c r="BB74" s="81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81"/>
      <c r="CF74" s="81"/>
      <c r="CG74" s="81"/>
      <c r="CH74" s="81"/>
      <c r="CI74" s="81"/>
      <c r="CJ74" s="81"/>
      <c r="CK74" s="81"/>
      <c r="CL74" s="81"/>
      <c r="CM74" s="81"/>
      <c r="CN74" s="81"/>
      <c r="CO74" s="81"/>
      <c r="CP74" s="81"/>
      <c r="CQ74" s="81"/>
      <c r="CR74" s="81"/>
      <c r="CS74" s="81"/>
      <c r="CT74" s="81"/>
      <c r="CU74" s="81"/>
      <c r="CV74" s="81"/>
      <c r="CW74" s="81"/>
      <c r="CX74" s="81"/>
      <c r="CY74" s="81"/>
      <c r="CZ74" s="81"/>
      <c r="DA74" s="81"/>
      <c r="DB74" s="81"/>
      <c r="DC74" s="81"/>
      <c r="DD74" s="81"/>
      <c r="DE74" s="81"/>
      <c r="DF74" s="81"/>
      <c r="DG74" s="81"/>
      <c r="DH74" s="81"/>
      <c r="DI74" s="81"/>
      <c r="DJ74" s="81"/>
      <c r="DK74" s="81"/>
      <c r="DL74" s="81"/>
      <c r="DM74" s="81"/>
      <c r="DN74" s="81"/>
      <c r="DO74" s="81"/>
      <c r="DP74" s="81"/>
      <c r="DQ74" s="81"/>
      <c r="DR74" s="81"/>
      <c r="DS74" s="81"/>
      <c r="DT74" s="81"/>
      <c r="DU74" s="81"/>
      <c r="DV74" s="81"/>
      <c r="DW74" s="81"/>
      <c r="DX74" s="81"/>
      <c r="DY74" s="81"/>
      <c r="DZ74" s="81"/>
      <c r="EA74" s="81"/>
      <c r="EB74" s="81"/>
    </row>
    <row r="75" spans="2:132" ht="17.100000000000001" customHeight="1">
      <c r="B75" s="58">
        <v>4</v>
      </c>
      <c r="C75" s="58" t="s">
        <v>658</v>
      </c>
      <c r="D75" s="59"/>
      <c r="E75" s="60"/>
      <c r="F75" s="60"/>
      <c r="G75" s="60" t="s">
        <v>891</v>
      </c>
      <c r="H75" s="62"/>
      <c r="I75" s="123"/>
      <c r="J75" s="61"/>
      <c r="K75" s="61"/>
      <c r="L75" s="145"/>
      <c r="M75" s="123"/>
      <c r="N75" s="145" t="s">
        <v>836</v>
      </c>
      <c r="O75" s="145"/>
      <c r="P75" s="61"/>
      <c r="Q75" s="61"/>
      <c r="R75" s="61"/>
      <c r="S75" s="61"/>
      <c r="T75" s="61"/>
      <c r="U75" s="61"/>
      <c r="V75" s="63"/>
      <c r="W75" s="64">
        <v>45154</v>
      </c>
      <c r="X75" s="61">
        <v>4</v>
      </c>
      <c r="Y75" s="140">
        <f t="shared" si="70"/>
        <v>45159</v>
      </c>
      <c r="Z75" s="64"/>
      <c r="AA75" s="126"/>
      <c r="AB75" s="65"/>
      <c r="AC75" s="66">
        <v>0</v>
      </c>
      <c r="AD75" s="125" t="str">
        <f t="shared" si="50"/>
        <v>Open</v>
      </c>
      <c r="AE75" s="150"/>
      <c r="AF75" s="80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  <c r="BA75" s="81"/>
      <c r="BB75" s="81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81"/>
      <c r="CF75" s="81"/>
      <c r="CG75" s="81"/>
      <c r="CH75" s="81"/>
      <c r="CI75" s="81"/>
      <c r="CJ75" s="81"/>
      <c r="CK75" s="81"/>
      <c r="CL75" s="81"/>
      <c r="CM75" s="81"/>
      <c r="CN75" s="81"/>
      <c r="CO75" s="81"/>
      <c r="CP75" s="81"/>
      <c r="CQ75" s="81"/>
      <c r="CR75" s="81"/>
      <c r="CS75" s="81"/>
      <c r="CT75" s="81"/>
      <c r="CU75" s="81"/>
      <c r="CV75" s="81"/>
      <c r="CW75" s="81"/>
      <c r="CX75" s="81"/>
      <c r="CY75" s="81"/>
      <c r="CZ75" s="81"/>
      <c r="DA75" s="81"/>
      <c r="DB75" s="81"/>
      <c r="DC75" s="81"/>
      <c r="DD75" s="81"/>
      <c r="DE75" s="81"/>
      <c r="DF75" s="81"/>
      <c r="DG75" s="81"/>
      <c r="DH75" s="81"/>
      <c r="DI75" s="81"/>
      <c r="DJ75" s="81"/>
      <c r="DK75" s="81"/>
      <c r="DL75" s="81"/>
      <c r="DM75" s="81"/>
      <c r="DN75" s="81"/>
      <c r="DO75" s="81"/>
      <c r="DP75" s="81"/>
      <c r="DQ75" s="81"/>
      <c r="DR75" s="81"/>
      <c r="DS75" s="81"/>
      <c r="DT75" s="81"/>
      <c r="DU75" s="81"/>
      <c r="DV75" s="81"/>
      <c r="DW75" s="81"/>
      <c r="DX75" s="81"/>
      <c r="DY75" s="81"/>
      <c r="DZ75" s="81"/>
      <c r="EA75" s="81"/>
      <c r="EB75" s="81"/>
    </row>
    <row r="76" spans="2:132" ht="17.100000000000001" customHeight="1">
      <c r="B76" s="58">
        <v>4</v>
      </c>
      <c r="C76" s="58" t="s">
        <v>658</v>
      </c>
      <c r="D76" s="59"/>
      <c r="E76" s="60"/>
      <c r="F76" s="60"/>
      <c r="G76" s="60" t="s">
        <v>892</v>
      </c>
      <c r="H76" s="62"/>
      <c r="I76" s="123"/>
      <c r="J76" s="61"/>
      <c r="K76" s="61"/>
      <c r="L76" s="145"/>
      <c r="M76" s="123"/>
      <c r="N76" s="145" t="s">
        <v>836</v>
      </c>
      <c r="O76" s="145"/>
      <c r="P76" s="61"/>
      <c r="Q76" s="61"/>
      <c r="R76" s="61"/>
      <c r="S76" s="61"/>
      <c r="T76" s="61"/>
      <c r="U76" s="61"/>
      <c r="V76" s="63"/>
      <c r="W76" s="64">
        <v>45160</v>
      </c>
      <c r="X76" s="61">
        <v>4</v>
      </c>
      <c r="Y76" s="140">
        <f t="shared" ref="Y76" si="71">IF(AND(W76="",X76="")=TRUE,"",WORKDAY(W76,X76-1,Holidays))</f>
        <v>45163</v>
      </c>
      <c r="Z76" s="64"/>
      <c r="AA76" s="126" t="str">
        <f t="shared" ref="AA76:AA85" ca="1" si="72">IF(AND(Z76="",AB76="")=TRUE,"",IF(AND(Z76&gt;0,AB76="")=TRUE,NETWORKDAYS(Z76,TODAY(),Holidays),NETWORKDAYS(Z76,AB76,Holidays)))</f>
        <v/>
      </c>
      <c r="AB76" s="65"/>
      <c r="AC76" s="66">
        <v>0</v>
      </c>
      <c r="AD76" s="125" t="str">
        <f t="shared" si="50"/>
        <v>Open</v>
      </c>
      <c r="AE76" s="150"/>
      <c r="AF76" s="80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  <c r="BA76" s="81"/>
      <c r="BB76" s="81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81"/>
      <c r="CF76" s="81"/>
      <c r="CG76" s="81"/>
      <c r="CH76" s="81"/>
      <c r="CI76" s="81"/>
      <c r="CJ76" s="81"/>
      <c r="CK76" s="81"/>
      <c r="CL76" s="81"/>
      <c r="CM76" s="81"/>
      <c r="CN76" s="81"/>
      <c r="CO76" s="81"/>
      <c r="CP76" s="81"/>
      <c r="CQ76" s="81"/>
      <c r="CR76" s="81"/>
      <c r="CS76" s="81"/>
      <c r="CT76" s="81"/>
      <c r="CU76" s="81"/>
      <c r="CV76" s="81"/>
      <c r="CW76" s="81"/>
      <c r="CX76" s="81"/>
      <c r="CY76" s="81"/>
      <c r="CZ76" s="81"/>
      <c r="DA76" s="81"/>
      <c r="DB76" s="81"/>
      <c r="DC76" s="81"/>
      <c r="DD76" s="81"/>
      <c r="DE76" s="81"/>
      <c r="DF76" s="81"/>
      <c r="DG76" s="81"/>
      <c r="DH76" s="81"/>
      <c r="DI76" s="81"/>
      <c r="DJ76" s="81"/>
      <c r="DK76" s="81"/>
      <c r="DL76" s="81"/>
      <c r="DM76" s="81"/>
      <c r="DN76" s="81"/>
      <c r="DO76" s="81"/>
      <c r="DP76" s="81"/>
      <c r="DQ76" s="81"/>
      <c r="DR76" s="81"/>
      <c r="DS76" s="81"/>
      <c r="DT76" s="81"/>
      <c r="DU76" s="81"/>
      <c r="DV76" s="81"/>
      <c r="DW76" s="81"/>
      <c r="DX76" s="81"/>
      <c r="DY76" s="81"/>
      <c r="DZ76" s="81"/>
      <c r="EA76" s="81"/>
      <c r="EB76" s="81"/>
    </row>
    <row r="77" spans="2:132" ht="17.100000000000001" customHeight="1">
      <c r="B77" s="92">
        <v>3</v>
      </c>
      <c r="C77" s="92" t="s">
        <v>655</v>
      </c>
      <c r="D77" s="93"/>
      <c r="E77" s="94"/>
      <c r="F77" s="94" t="s">
        <v>893</v>
      </c>
      <c r="G77" s="94"/>
      <c r="H77" s="95"/>
      <c r="I77" s="118" t="str">
        <f>IF(COUNTIF(I78:I83,"●")&gt;0,"●","")</f>
        <v>●</v>
      </c>
      <c r="J77" s="91" t="str">
        <f t="shared" ref="J77:L77" si="73">IF(COUNTIF(J78:J83,"●")&gt;0,"●","")</f>
        <v>●</v>
      </c>
      <c r="K77" s="91" t="str">
        <f t="shared" ref="K77" si="74">IF(COUNTIF(K78:K83,"●")&gt;0,"●","")</f>
        <v/>
      </c>
      <c r="L77" s="144" t="str">
        <f t="shared" si="73"/>
        <v/>
      </c>
      <c r="M77" s="118" t="str">
        <f>IF(COUNTIF(M78:M83,"●")&gt;0,"●","")</f>
        <v/>
      </c>
      <c r="N77" s="91" t="str">
        <f t="shared" ref="N77:V77" si="75">IF(COUNTIF(N78:N83,"●")&gt;0,"●","")</f>
        <v>●</v>
      </c>
      <c r="O77" s="144" t="str">
        <f t="shared" si="75"/>
        <v/>
      </c>
      <c r="P77" s="144" t="str">
        <f t="shared" si="75"/>
        <v/>
      </c>
      <c r="Q77" s="144" t="str">
        <f t="shared" si="75"/>
        <v/>
      </c>
      <c r="R77" s="144" t="str">
        <f t="shared" si="75"/>
        <v/>
      </c>
      <c r="S77" s="144" t="str">
        <f t="shared" si="75"/>
        <v/>
      </c>
      <c r="T77" s="144" t="str">
        <f t="shared" si="75"/>
        <v/>
      </c>
      <c r="U77" s="144" t="str">
        <f t="shared" si="75"/>
        <v/>
      </c>
      <c r="V77" s="144" t="str">
        <f t="shared" si="75"/>
        <v/>
      </c>
      <c r="W77" s="96">
        <f>IF(MIN(W78:W83)=0,"",MIN(W78:W83))</f>
        <v>45166</v>
      </c>
      <c r="X77" s="97">
        <f ca="1">IF(AND(W77="",Y77="")=TRUE,"",IF(AND(W77&gt;0,Y77="")=TRUE,NETWORKDAYS(W77,TODAY(),Holidays),NETWORKDAYS(W77,Y77,Holidays)))</f>
        <v>14</v>
      </c>
      <c r="Y77" s="138">
        <f>IF(MAX(Y78:Y83)=0,"",MAX(Y78:Y83))</f>
        <v>45183</v>
      </c>
      <c r="Z77" s="96" t="str">
        <f>IF(MIN(Z78:Z83)=0,"",MIN(Z78:Z83))</f>
        <v/>
      </c>
      <c r="AA77" s="97" t="str">
        <f t="shared" ca="1" si="72"/>
        <v/>
      </c>
      <c r="AB77" s="98" t="str">
        <f>IF(MAX(AB78:AB83)=0,"",MAX(AB78:AB83))</f>
        <v/>
      </c>
      <c r="AC77" s="99">
        <f>IFERROR(AVERAGE(AC78:AC83),"")</f>
        <v>0</v>
      </c>
      <c r="AD77" s="100" t="str">
        <f t="shared" si="50"/>
        <v>Open</v>
      </c>
      <c r="AE77" s="101"/>
      <c r="AF77" s="80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  <c r="BA77" s="81"/>
      <c r="BB77" s="81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81"/>
      <c r="CF77" s="81"/>
      <c r="CG77" s="81"/>
      <c r="CH77" s="81"/>
      <c r="CI77" s="81"/>
      <c r="CJ77" s="81"/>
      <c r="CK77" s="81"/>
      <c r="CL77" s="81"/>
      <c r="CM77" s="81"/>
      <c r="CN77" s="81"/>
      <c r="CO77" s="81"/>
      <c r="CP77" s="81"/>
      <c r="CQ77" s="81"/>
      <c r="CR77" s="81"/>
      <c r="CS77" s="81"/>
      <c r="CT77" s="81"/>
      <c r="CU77" s="81"/>
      <c r="CV77" s="81"/>
      <c r="CW77" s="81"/>
      <c r="CX77" s="81"/>
      <c r="CY77" s="81"/>
      <c r="CZ77" s="81"/>
      <c r="DA77" s="81"/>
      <c r="DB77" s="81"/>
      <c r="DC77" s="81"/>
      <c r="DD77" s="81"/>
      <c r="DE77" s="81"/>
      <c r="DF77" s="81"/>
      <c r="DG77" s="81"/>
      <c r="DH77" s="81"/>
      <c r="DI77" s="81"/>
      <c r="DJ77" s="81"/>
      <c r="DK77" s="81"/>
      <c r="DL77" s="81"/>
      <c r="DM77" s="81"/>
      <c r="DN77" s="81"/>
      <c r="DO77" s="81"/>
      <c r="DP77" s="81"/>
      <c r="DQ77" s="81"/>
      <c r="DR77" s="81"/>
      <c r="DS77" s="81"/>
      <c r="DT77" s="81"/>
      <c r="DU77" s="81"/>
      <c r="DV77" s="81"/>
      <c r="DW77" s="81"/>
      <c r="DX77" s="81"/>
      <c r="DY77" s="81"/>
      <c r="DZ77" s="81"/>
      <c r="EA77" s="81"/>
      <c r="EB77" s="81"/>
    </row>
    <row r="78" spans="2:132" ht="17.100000000000001" customHeight="1">
      <c r="B78" s="58">
        <v>4</v>
      </c>
      <c r="C78" s="58" t="s">
        <v>658</v>
      </c>
      <c r="D78" s="59"/>
      <c r="E78" s="60"/>
      <c r="F78" s="60"/>
      <c r="G78" s="60" t="s">
        <v>894</v>
      </c>
      <c r="H78" s="62"/>
      <c r="I78" s="145" t="s">
        <v>836</v>
      </c>
      <c r="J78" s="145" t="s">
        <v>836</v>
      </c>
      <c r="K78" s="61"/>
      <c r="L78" s="145"/>
      <c r="M78" s="123"/>
      <c r="N78" s="145" t="s">
        <v>836</v>
      </c>
      <c r="O78" s="145"/>
      <c r="P78" s="61"/>
      <c r="Q78" s="61"/>
      <c r="R78" s="61"/>
      <c r="S78" s="61"/>
      <c r="T78" s="61"/>
      <c r="U78" s="61"/>
      <c r="V78" s="63"/>
      <c r="W78" s="64">
        <v>45166</v>
      </c>
      <c r="X78" s="61">
        <v>3</v>
      </c>
      <c r="Y78" s="140">
        <f t="shared" ref="Y78:Y83" si="76">IF(AND(W78="",X78="")=TRUE,"",WORKDAY(W78,X78-1,Holidays))</f>
        <v>45168</v>
      </c>
      <c r="Z78" s="64"/>
      <c r="AA78" s="126" t="str">
        <f t="shared" ca="1" si="72"/>
        <v/>
      </c>
      <c r="AB78" s="65"/>
      <c r="AC78" s="66">
        <v>0</v>
      </c>
      <c r="AD78" s="125" t="str">
        <f t="shared" si="50"/>
        <v>Open</v>
      </c>
      <c r="AE78" s="150"/>
      <c r="AF78" s="80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  <c r="BA78" s="81"/>
      <c r="BB78" s="81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81"/>
      <c r="CF78" s="81"/>
      <c r="CG78" s="81"/>
      <c r="CH78" s="81"/>
      <c r="CI78" s="81"/>
      <c r="CJ78" s="81"/>
      <c r="CK78" s="81"/>
      <c r="CL78" s="81"/>
      <c r="CM78" s="81"/>
      <c r="CN78" s="81"/>
      <c r="CO78" s="81"/>
      <c r="CP78" s="81"/>
      <c r="CQ78" s="81"/>
      <c r="CR78" s="81"/>
      <c r="CS78" s="81"/>
      <c r="CT78" s="81"/>
      <c r="CU78" s="81"/>
      <c r="CV78" s="81"/>
      <c r="CW78" s="81"/>
      <c r="CX78" s="81"/>
      <c r="CY78" s="81"/>
      <c r="CZ78" s="81"/>
      <c r="DA78" s="81"/>
      <c r="DB78" s="81"/>
      <c r="DC78" s="81"/>
      <c r="DD78" s="81"/>
      <c r="DE78" s="81"/>
      <c r="DF78" s="81"/>
      <c r="DG78" s="81"/>
      <c r="DH78" s="81"/>
      <c r="DI78" s="81"/>
      <c r="DJ78" s="81"/>
      <c r="DK78" s="81"/>
      <c r="DL78" s="81"/>
      <c r="DM78" s="81"/>
      <c r="DN78" s="81"/>
      <c r="DO78" s="81"/>
      <c r="DP78" s="81"/>
      <c r="DQ78" s="81"/>
      <c r="DR78" s="81"/>
      <c r="DS78" s="81"/>
      <c r="DT78" s="81"/>
      <c r="DU78" s="81"/>
      <c r="DV78" s="81"/>
      <c r="DW78" s="81"/>
      <c r="DX78" s="81"/>
      <c r="DY78" s="81"/>
      <c r="DZ78" s="81"/>
      <c r="EA78" s="81"/>
      <c r="EB78" s="81"/>
    </row>
    <row r="79" spans="2:132" ht="17.100000000000001" customHeight="1">
      <c r="B79" s="58">
        <v>4</v>
      </c>
      <c r="C79" s="58" t="s">
        <v>658</v>
      </c>
      <c r="D79" s="59"/>
      <c r="E79" s="60"/>
      <c r="F79" s="60"/>
      <c r="G79" s="60" t="s">
        <v>895</v>
      </c>
      <c r="H79" s="62"/>
      <c r="I79" s="145" t="s">
        <v>836</v>
      </c>
      <c r="J79" s="145" t="s">
        <v>836</v>
      </c>
      <c r="K79" s="61"/>
      <c r="L79" s="145"/>
      <c r="M79" s="123"/>
      <c r="N79" s="145" t="s">
        <v>836</v>
      </c>
      <c r="O79" s="145"/>
      <c r="P79" s="61"/>
      <c r="Q79" s="61"/>
      <c r="R79" s="61"/>
      <c r="S79" s="61"/>
      <c r="T79" s="61"/>
      <c r="U79" s="61"/>
      <c r="V79" s="63"/>
      <c r="W79" s="64">
        <v>45169</v>
      </c>
      <c r="X79" s="61">
        <v>4</v>
      </c>
      <c r="Y79" s="140">
        <f t="shared" si="76"/>
        <v>45174</v>
      </c>
      <c r="Z79" s="64"/>
      <c r="AA79" s="126" t="str">
        <f t="shared" ca="1" si="72"/>
        <v/>
      </c>
      <c r="AB79" s="65"/>
      <c r="AC79" s="66">
        <v>0</v>
      </c>
      <c r="AD79" s="125" t="str">
        <f t="shared" si="50"/>
        <v>Open</v>
      </c>
      <c r="AE79" s="150"/>
      <c r="AF79" s="80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  <c r="BA79" s="81"/>
      <c r="BB79" s="81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81"/>
      <c r="CF79" s="81"/>
      <c r="CG79" s="81"/>
      <c r="CH79" s="81"/>
      <c r="CI79" s="81"/>
      <c r="CJ79" s="81"/>
      <c r="CK79" s="81"/>
      <c r="CL79" s="81"/>
      <c r="CM79" s="81"/>
      <c r="CN79" s="81"/>
      <c r="CO79" s="81"/>
      <c r="CP79" s="81"/>
      <c r="CQ79" s="81"/>
      <c r="CR79" s="81"/>
      <c r="CS79" s="81"/>
      <c r="CT79" s="81"/>
      <c r="CU79" s="81"/>
      <c r="CV79" s="81"/>
      <c r="CW79" s="81"/>
      <c r="CX79" s="81"/>
      <c r="CY79" s="81"/>
      <c r="CZ79" s="81"/>
      <c r="DA79" s="81"/>
      <c r="DB79" s="81"/>
      <c r="DC79" s="81"/>
      <c r="DD79" s="81"/>
      <c r="DE79" s="81"/>
      <c r="DF79" s="81"/>
      <c r="DG79" s="81"/>
      <c r="DH79" s="81"/>
      <c r="DI79" s="81"/>
      <c r="DJ79" s="81"/>
      <c r="DK79" s="81"/>
      <c r="DL79" s="81"/>
      <c r="DM79" s="81"/>
      <c r="DN79" s="81"/>
      <c r="DO79" s="81"/>
      <c r="DP79" s="81"/>
      <c r="DQ79" s="81"/>
      <c r="DR79" s="81"/>
      <c r="DS79" s="81"/>
      <c r="DT79" s="81"/>
      <c r="DU79" s="81"/>
      <c r="DV79" s="81"/>
      <c r="DW79" s="81"/>
      <c r="DX79" s="81"/>
      <c r="DY79" s="81"/>
      <c r="DZ79" s="81"/>
      <c r="EA79" s="81"/>
      <c r="EB79" s="81"/>
    </row>
    <row r="80" spans="2:132" ht="17.100000000000001" customHeight="1">
      <c r="B80" s="58">
        <v>4</v>
      </c>
      <c r="C80" s="58" t="s">
        <v>658</v>
      </c>
      <c r="D80" s="59"/>
      <c r="E80" s="60"/>
      <c r="F80" s="60"/>
      <c r="G80" s="60" t="s">
        <v>896</v>
      </c>
      <c r="H80" s="62"/>
      <c r="I80" s="145" t="s">
        <v>836</v>
      </c>
      <c r="J80" s="145" t="s">
        <v>836</v>
      </c>
      <c r="K80" s="61"/>
      <c r="L80" s="145"/>
      <c r="M80" s="123"/>
      <c r="N80" s="145" t="s">
        <v>836</v>
      </c>
      <c r="O80" s="145"/>
      <c r="P80" s="61"/>
      <c r="Q80" s="61"/>
      <c r="R80" s="61"/>
      <c r="S80" s="61"/>
      <c r="T80" s="61"/>
      <c r="U80" s="61"/>
      <c r="V80" s="63"/>
      <c r="W80" s="64">
        <v>45175</v>
      </c>
      <c r="X80" s="61">
        <v>4</v>
      </c>
      <c r="Y80" s="140">
        <f t="shared" si="76"/>
        <v>45180</v>
      </c>
      <c r="Z80" s="64"/>
      <c r="AA80" s="126" t="str">
        <f t="shared" ca="1" si="72"/>
        <v/>
      </c>
      <c r="AB80" s="65"/>
      <c r="AC80" s="66">
        <v>0</v>
      </c>
      <c r="AD80" s="125" t="str">
        <f t="shared" si="50"/>
        <v>Open</v>
      </c>
      <c r="AE80" s="150"/>
      <c r="AF80" s="80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  <c r="BA80" s="81"/>
      <c r="BB80" s="81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81"/>
      <c r="CF80" s="81"/>
      <c r="CG80" s="81"/>
      <c r="CH80" s="81"/>
      <c r="CI80" s="81"/>
      <c r="CJ80" s="81"/>
      <c r="CK80" s="81"/>
      <c r="CL80" s="81"/>
      <c r="CM80" s="81"/>
      <c r="CN80" s="81"/>
      <c r="CO80" s="81"/>
      <c r="CP80" s="81"/>
      <c r="CQ80" s="81"/>
      <c r="CR80" s="81"/>
      <c r="CS80" s="81"/>
      <c r="CT80" s="81"/>
      <c r="CU80" s="81"/>
      <c r="CV80" s="81"/>
      <c r="CW80" s="81"/>
      <c r="CX80" s="81"/>
      <c r="CY80" s="81"/>
      <c r="CZ80" s="81"/>
      <c r="DA80" s="81"/>
      <c r="DB80" s="81"/>
      <c r="DC80" s="81"/>
      <c r="DD80" s="81"/>
      <c r="DE80" s="81"/>
      <c r="DF80" s="81"/>
      <c r="DG80" s="81"/>
      <c r="DH80" s="81"/>
      <c r="DI80" s="81"/>
      <c r="DJ80" s="81"/>
      <c r="DK80" s="81"/>
      <c r="DL80" s="81"/>
      <c r="DM80" s="81"/>
      <c r="DN80" s="81"/>
      <c r="DO80" s="81"/>
      <c r="DP80" s="81"/>
      <c r="DQ80" s="81"/>
      <c r="DR80" s="81"/>
      <c r="DS80" s="81"/>
      <c r="DT80" s="81"/>
      <c r="DU80" s="81"/>
      <c r="DV80" s="81"/>
      <c r="DW80" s="81"/>
      <c r="DX80" s="81"/>
      <c r="DY80" s="81"/>
      <c r="DZ80" s="81"/>
      <c r="EA80" s="81"/>
      <c r="EB80" s="81"/>
    </row>
    <row r="81" spans="2:132" ht="17.100000000000001" customHeight="1">
      <c r="B81" s="58">
        <v>4</v>
      </c>
      <c r="C81" s="58" t="s">
        <v>658</v>
      </c>
      <c r="D81" s="59"/>
      <c r="E81" s="60"/>
      <c r="F81" s="60"/>
      <c r="G81" s="60" t="s">
        <v>897</v>
      </c>
      <c r="H81" s="62"/>
      <c r="I81" s="145" t="s">
        <v>836</v>
      </c>
      <c r="J81" s="145" t="s">
        <v>836</v>
      </c>
      <c r="K81" s="61"/>
      <c r="L81" s="145"/>
      <c r="M81" s="123"/>
      <c r="N81" s="145" t="s">
        <v>836</v>
      </c>
      <c r="O81" s="145"/>
      <c r="P81" s="61"/>
      <c r="Q81" s="61"/>
      <c r="R81" s="61"/>
      <c r="S81" s="61"/>
      <c r="T81" s="61"/>
      <c r="U81" s="61"/>
      <c r="V81" s="63"/>
      <c r="W81" s="64">
        <v>45181</v>
      </c>
      <c r="X81" s="61">
        <v>3</v>
      </c>
      <c r="Y81" s="140">
        <f t="shared" si="76"/>
        <v>45183</v>
      </c>
      <c r="Z81" s="64"/>
      <c r="AA81" s="126" t="str">
        <f t="shared" ca="1" si="72"/>
        <v/>
      </c>
      <c r="AB81" s="65"/>
      <c r="AC81" s="66">
        <v>0</v>
      </c>
      <c r="AD81" s="125" t="str">
        <f t="shared" si="50"/>
        <v>Open</v>
      </c>
      <c r="AE81" s="150"/>
      <c r="AF81" s="80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  <c r="BA81" s="81"/>
      <c r="BB81" s="81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81"/>
      <c r="CF81" s="81"/>
      <c r="CG81" s="81"/>
      <c r="CH81" s="81"/>
      <c r="CI81" s="81"/>
      <c r="CJ81" s="81"/>
      <c r="CK81" s="81"/>
      <c r="CL81" s="81"/>
      <c r="CM81" s="81"/>
      <c r="CN81" s="81"/>
      <c r="CO81" s="81"/>
      <c r="CP81" s="81"/>
      <c r="CQ81" s="81"/>
      <c r="CR81" s="81"/>
      <c r="CS81" s="81"/>
      <c r="CT81" s="81"/>
      <c r="CU81" s="81"/>
      <c r="CV81" s="81"/>
      <c r="CW81" s="81"/>
      <c r="CX81" s="81"/>
      <c r="CY81" s="81"/>
      <c r="CZ81" s="81"/>
      <c r="DA81" s="81"/>
      <c r="DB81" s="81"/>
      <c r="DC81" s="81"/>
      <c r="DD81" s="81"/>
      <c r="DE81" s="81"/>
      <c r="DF81" s="81"/>
      <c r="DG81" s="81"/>
      <c r="DH81" s="81"/>
      <c r="DI81" s="81"/>
      <c r="DJ81" s="81"/>
      <c r="DK81" s="81"/>
      <c r="DL81" s="81"/>
      <c r="DM81" s="81"/>
      <c r="DN81" s="81"/>
      <c r="DO81" s="81"/>
      <c r="DP81" s="81"/>
      <c r="DQ81" s="81"/>
      <c r="DR81" s="81"/>
      <c r="DS81" s="81"/>
      <c r="DT81" s="81"/>
      <c r="DU81" s="81"/>
      <c r="DV81" s="81"/>
      <c r="DW81" s="81"/>
      <c r="DX81" s="81"/>
      <c r="DY81" s="81"/>
      <c r="DZ81" s="81"/>
      <c r="EA81" s="81"/>
      <c r="EB81" s="81"/>
    </row>
    <row r="82" spans="2:132" ht="17.100000000000001" customHeight="1">
      <c r="B82" s="58">
        <v>4</v>
      </c>
      <c r="C82" s="58" t="s">
        <v>658</v>
      </c>
      <c r="D82" s="59"/>
      <c r="E82" s="60"/>
      <c r="F82" s="60"/>
      <c r="G82" s="60" t="s">
        <v>898</v>
      </c>
      <c r="H82" s="62"/>
      <c r="I82" s="145" t="s">
        <v>836</v>
      </c>
      <c r="J82" s="145" t="s">
        <v>836</v>
      </c>
      <c r="K82" s="61"/>
      <c r="L82" s="145"/>
      <c r="M82" s="123"/>
      <c r="N82" s="145" t="s">
        <v>836</v>
      </c>
      <c r="O82" s="145"/>
      <c r="P82" s="61"/>
      <c r="Q82" s="61"/>
      <c r="R82" s="61"/>
      <c r="S82" s="61"/>
      <c r="T82" s="61"/>
      <c r="U82" s="61"/>
      <c r="V82" s="63"/>
      <c r="W82" s="64">
        <v>45181</v>
      </c>
      <c r="X82" s="61">
        <v>3</v>
      </c>
      <c r="Y82" s="140">
        <f t="shared" si="76"/>
        <v>45183</v>
      </c>
      <c r="Z82" s="64"/>
      <c r="AA82" s="126" t="str">
        <f t="shared" ca="1" si="72"/>
        <v/>
      </c>
      <c r="AB82" s="65"/>
      <c r="AC82" s="66">
        <v>0</v>
      </c>
      <c r="AD82" s="125" t="str">
        <f t="shared" si="50"/>
        <v>Open</v>
      </c>
      <c r="AE82" s="150"/>
      <c r="AF82" s="80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  <c r="BA82" s="81"/>
      <c r="BB82" s="81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81"/>
      <c r="CF82" s="81"/>
      <c r="CG82" s="81"/>
      <c r="CH82" s="81"/>
      <c r="CI82" s="81"/>
      <c r="CJ82" s="81"/>
      <c r="CK82" s="81"/>
      <c r="CL82" s="81"/>
      <c r="CM82" s="81"/>
      <c r="CN82" s="81"/>
      <c r="CO82" s="81"/>
      <c r="CP82" s="81"/>
      <c r="CQ82" s="81"/>
      <c r="CR82" s="81"/>
      <c r="CS82" s="81"/>
      <c r="CT82" s="81"/>
      <c r="CU82" s="81"/>
      <c r="CV82" s="81"/>
      <c r="CW82" s="81"/>
      <c r="CX82" s="81"/>
      <c r="CY82" s="81"/>
      <c r="CZ82" s="81"/>
      <c r="DA82" s="81"/>
      <c r="DB82" s="81"/>
      <c r="DC82" s="81"/>
      <c r="DD82" s="81"/>
      <c r="DE82" s="81"/>
      <c r="DF82" s="81"/>
      <c r="DG82" s="81"/>
      <c r="DH82" s="81"/>
      <c r="DI82" s="81"/>
      <c r="DJ82" s="81"/>
      <c r="DK82" s="81"/>
      <c r="DL82" s="81"/>
      <c r="DM82" s="81"/>
      <c r="DN82" s="81"/>
      <c r="DO82" s="81"/>
      <c r="DP82" s="81"/>
      <c r="DQ82" s="81"/>
      <c r="DR82" s="81"/>
      <c r="DS82" s="81"/>
      <c r="DT82" s="81"/>
      <c r="DU82" s="81"/>
      <c r="DV82" s="81"/>
      <c r="DW82" s="81"/>
      <c r="DX82" s="81"/>
      <c r="DY82" s="81"/>
      <c r="DZ82" s="81"/>
      <c r="EA82" s="81"/>
      <c r="EB82" s="81"/>
    </row>
    <row r="83" spans="2:132" ht="17.100000000000001" customHeight="1">
      <c r="B83" s="58">
        <v>4</v>
      </c>
      <c r="C83" s="58" t="s">
        <v>658</v>
      </c>
      <c r="D83" s="59"/>
      <c r="E83" s="60"/>
      <c r="F83" s="60"/>
      <c r="G83" s="60" t="s">
        <v>899</v>
      </c>
      <c r="H83" s="62"/>
      <c r="I83" s="145" t="s">
        <v>836</v>
      </c>
      <c r="J83" s="145" t="s">
        <v>836</v>
      </c>
      <c r="K83" s="61"/>
      <c r="L83" s="145"/>
      <c r="M83" s="123"/>
      <c r="N83" s="145" t="s">
        <v>836</v>
      </c>
      <c r="O83" s="145"/>
      <c r="P83" s="61"/>
      <c r="Q83" s="61"/>
      <c r="R83" s="61"/>
      <c r="S83" s="61"/>
      <c r="T83" s="61"/>
      <c r="U83" s="61"/>
      <c r="V83" s="63"/>
      <c r="W83" s="64">
        <v>45181</v>
      </c>
      <c r="X83" s="61">
        <v>3</v>
      </c>
      <c r="Y83" s="140">
        <f t="shared" si="76"/>
        <v>45183</v>
      </c>
      <c r="Z83" s="64"/>
      <c r="AA83" s="126" t="str">
        <f t="shared" ca="1" si="72"/>
        <v/>
      </c>
      <c r="AB83" s="65"/>
      <c r="AC83" s="66">
        <v>0</v>
      </c>
      <c r="AD83" s="125" t="str">
        <f t="shared" si="50"/>
        <v>Open</v>
      </c>
      <c r="AE83" s="150"/>
      <c r="AF83" s="80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  <c r="BA83" s="81"/>
      <c r="BB83" s="81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81"/>
      <c r="CF83" s="81"/>
      <c r="CG83" s="81"/>
      <c r="CH83" s="81"/>
      <c r="CI83" s="81"/>
      <c r="CJ83" s="81"/>
      <c r="CK83" s="81"/>
      <c r="CL83" s="81"/>
      <c r="CM83" s="81"/>
      <c r="CN83" s="81"/>
      <c r="CO83" s="81"/>
      <c r="CP83" s="81"/>
      <c r="CQ83" s="81"/>
      <c r="CR83" s="81"/>
      <c r="CS83" s="81"/>
      <c r="CT83" s="81"/>
      <c r="CU83" s="81"/>
      <c r="CV83" s="81"/>
      <c r="CW83" s="81"/>
      <c r="CX83" s="81"/>
      <c r="CY83" s="81"/>
      <c r="CZ83" s="81"/>
      <c r="DA83" s="81"/>
      <c r="DB83" s="81"/>
      <c r="DC83" s="81"/>
      <c r="DD83" s="81"/>
      <c r="DE83" s="81"/>
      <c r="DF83" s="81"/>
      <c r="DG83" s="81"/>
      <c r="DH83" s="81"/>
      <c r="DI83" s="81"/>
      <c r="DJ83" s="81"/>
      <c r="DK83" s="81"/>
      <c r="DL83" s="81"/>
      <c r="DM83" s="81"/>
      <c r="DN83" s="81"/>
      <c r="DO83" s="81"/>
      <c r="DP83" s="81"/>
      <c r="DQ83" s="81"/>
      <c r="DR83" s="81"/>
      <c r="DS83" s="81"/>
      <c r="DT83" s="81"/>
      <c r="DU83" s="81"/>
      <c r="DV83" s="81"/>
      <c r="DW83" s="81"/>
      <c r="DX83" s="81"/>
      <c r="DY83" s="81"/>
      <c r="DZ83" s="81"/>
      <c r="EA83" s="81"/>
      <c r="EB83" s="81"/>
    </row>
    <row r="84" spans="2:132" ht="17.100000000000001" customHeight="1">
      <c r="B84" s="92">
        <v>3</v>
      </c>
      <c r="C84" s="92" t="s">
        <v>655</v>
      </c>
      <c r="D84" s="93"/>
      <c r="E84" s="94"/>
      <c r="F84" s="94" t="s">
        <v>900</v>
      </c>
      <c r="G84" s="94"/>
      <c r="H84" s="95"/>
      <c r="I84" s="118" t="str">
        <f>IF(COUNTIF(I85:I87,"●")&gt;0,"●","")</f>
        <v/>
      </c>
      <c r="J84" s="91" t="str">
        <f t="shared" ref="J84:L84" si="77">IF(COUNTIF(J85:J87,"●")&gt;0,"●","")</f>
        <v/>
      </c>
      <c r="K84" s="91" t="str">
        <f t="shared" ref="K84" si="78">IF(COUNTIF(K85:K87,"●")&gt;0,"●","")</f>
        <v/>
      </c>
      <c r="L84" s="144" t="str">
        <f t="shared" si="77"/>
        <v/>
      </c>
      <c r="M84" s="118" t="str">
        <f>IF(COUNTIF(M85:M87,"●")&gt;0,"●","")</f>
        <v/>
      </c>
      <c r="N84" s="91" t="str">
        <f t="shared" ref="N84:V84" si="79">IF(COUNTIF(N85:N87,"●")&gt;0,"●","")</f>
        <v>●</v>
      </c>
      <c r="O84" s="144" t="str">
        <f t="shared" si="79"/>
        <v/>
      </c>
      <c r="P84" s="144" t="str">
        <f t="shared" si="79"/>
        <v/>
      </c>
      <c r="Q84" s="144" t="str">
        <f t="shared" si="79"/>
        <v/>
      </c>
      <c r="R84" s="144" t="str">
        <f t="shared" si="79"/>
        <v/>
      </c>
      <c r="S84" s="144" t="str">
        <f t="shared" si="79"/>
        <v/>
      </c>
      <c r="T84" s="144" t="str">
        <f t="shared" si="79"/>
        <v/>
      </c>
      <c r="U84" s="144" t="str">
        <f t="shared" si="79"/>
        <v/>
      </c>
      <c r="V84" s="144" t="str">
        <f t="shared" si="79"/>
        <v/>
      </c>
      <c r="W84" s="96">
        <f>IF(MIN(W85:W87)=0,"",MIN(W85:W87))</f>
        <v>45184</v>
      </c>
      <c r="X84" s="97">
        <f ca="1">IF(AND(W84="",Y84="")=TRUE,"",IF(AND(W84&gt;0,Y84="")=TRUE,NETWORKDAYS(W84,TODAY(),Holidays),NETWORKDAYS(W84,Y84,Holidays)))</f>
        <v>8</v>
      </c>
      <c r="Y84" s="138">
        <f>IF(MAX(Y85:Y87)=0,"",MAX(Y85:Y87))</f>
        <v>45195</v>
      </c>
      <c r="Z84" s="96" t="str">
        <f>IF(MIN(Z85:Z87)=0,"",MIN(Z85:Z87))</f>
        <v/>
      </c>
      <c r="AA84" s="97" t="str">
        <f t="shared" ca="1" si="72"/>
        <v/>
      </c>
      <c r="AB84" s="98" t="str">
        <f>IF(MAX(AB85:AB87)=0,"",MAX(AB85:AB87))</f>
        <v/>
      </c>
      <c r="AC84" s="99">
        <f>IFERROR(AVERAGE(AC85:AC87),"")</f>
        <v>0</v>
      </c>
      <c r="AD84" s="100" t="str">
        <f t="shared" si="50"/>
        <v>Open</v>
      </c>
      <c r="AE84" s="101"/>
      <c r="AF84" s="80"/>
      <c r="AG84" s="81"/>
      <c r="AH84" s="81"/>
      <c r="AI84" s="81"/>
      <c r="AJ84" s="81"/>
      <c r="AK84" s="81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  <c r="BA84" s="81"/>
      <c r="BB84" s="81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81"/>
      <c r="CG84" s="81"/>
      <c r="CH84" s="81"/>
      <c r="CI84" s="81"/>
      <c r="CJ84" s="81"/>
      <c r="CK84" s="81"/>
      <c r="CL84" s="81"/>
      <c r="CM84" s="81"/>
      <c r="CN84" s="81"/>
      <c r="CO84" s="81"/>
      <c r="CP84" s="81"/>
      <c r="CQ84" s="81"/>
      <c r="CR84" s="81"/>
      <c r="CS84" s="81"/>
      <c r="CT84" s="81"/>
      <c r="CU84" s="81"/>
      <c r="CV84" s="81"/>
      <c r="CW84" s="81"/>
      <c r="CX84" s="81"/>
      <c r="CY84" s="81"/>
      <c r="CZ84" s="81"/>
      <c r="DA84" s="81"/>
      <c r="DB84" s="81"/>
      <c r="DC84" s="81"/>
      <c r="DD84" s="81"/>
      <c r="DE84" s="81"/>
      <c r="DF84" s="81"/>
      <c r="DG84" s="81"/>
      <c r="DH84" s="81"/>
      <c r="DI84" s="81"/>
      <c r="DJ84" s="81"/>
      <c r="DK84" s="81"/>
      <c r="DL84" s="81"/>
      <c r="DM84" s="81"/>
      <c r="DN84" s="81"/>
      <c r="DO84" s="81"/>
      <c r="DP84" s="81"/>
      <c r="DQ84" s="81"/>
      <c r="DR84" s="81"/>
      <c r="DS84" s="81"/>
      <c r="DT84" s="81"/>
      <c r="DU84" s="81"/>
      <c r="DV84" s="81"/>
      <c r="DW84" s="81"/>
      <c r="DX84" s="81"/>
      <c r="DY84" s="81"/>
      <c r="DZ84" s="81"/>
      <c r="EA84" s="81"/>
      <c r="EB84" s="81"/>
    </row>
    <row r="85" spans="2:132" ht="17.100000000000001" customHeight="1">
      <c r="B85" s="58">
        <v>4</v>
      </c>
      <c r="C85" s="58" t="s">
        <v>658</v>
      </c>
      <c r="D85" s="59"/>
      <c r="E85" s="60"/>
      <c r="F85" s="60"/>
      <c r="G85" s="60" t="s">
        <v>901</v>
      </c>
      <c r="H85" s="62"/>
      <c r="I85" s="123"/>
      <c r="J85" s="61"/>
      <c r="K85" s="61"/>
      <c r="L85" s="145"/>
      <c r="M85" s="123"/>
      <c r="N85" s="145" t="s">
        <v>836</v>
      </c>
      <c r="O85" s="145"/>
      <c r="P85" s="61"/>
      <c r="Q85" s="61"/>
      <c r="R85" s="61"/>
      <c r="S85" s="61"/>
      <c r="T85" s="61"/>
      <c r="U85" s="61"/>
      <c r="V85" s="63"/>
      <c r="W85" s="64">
        <v>45184</v>
      </c>
      <c r="X85" s="61">
        <v>2</v>
      </c>
      <c r="Y85" s="140">
        <f t="shared" ref="Y85:Y86" si="80">IF(AND(W85="",X85="")=TRUE,"",WORKDAY(W85,X85-1,Holidays))</f>
        <v>45187</v>
      </c>
      <c r="Z85" s="64"/>
      <c r="AA85" s="126" t="str">
        <f t="shared" ca="1" si="72"/>
        <v/>
      </c>
      <c r="AB85" s="65"/>
      <c r="AC85" s="66">
        <v>0</v>
      </c>
      <c r="AD85" s="125" t="str">
        <f t="shared" si="50"/>
        <v>Open</v>
      </c>
      <c r="AE85" s="150"/>
      <c r="AF85" s="80"/>
      <c r="AG85" s="81"/>
      <c r="AH85" s="81"/>
      <c r="AI85" s="81"/>
      <c r="AJ85" s="81"/>
      <c r="AK85" s="81"/>
      <c r="AL85" s="81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  <c r="BA85" s="81"/>
      <c r="BB85" s="81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81"/>
      <c r="CF85" s="81"/>
      <c r="CG85" s="81"/>
      <c r="CH85" s="81"/>
      <c r="CI85" s="81"/>
      <c r="CJ85" s="81"/>
      <c r="CK85" s="81"/>
      <c r="CL85" s="81"/>
      <c r="CM85" s="81"/>
      <c r="CN85" s="81"/>
      <c r="CO85" s="81"/>
      <c r="CP85" s="81"/>
      <c r="CQ85" s="81"/>
      <c r="CR85" s="81"/>
      <c r="CS85" s="81"/>
      <c r="CT85" s="81"/>
      <c r="CU85" s="81"/>
      <c r="CV85" s="81"/>
      <c r="CW85" s="81"/>
      <c r="CX85" s="81"/>
      <c r="CY85" s="81"/>
      <c r="CZ85" s="81"/>
      <c r="DA85" s="81"/>
      <c r="DB85" s="81"/>
      <c r="DC85" s="81"/>
      <c r="DD85" s="81"/>
      <c r="DE85" s="81"/>
      <c r="DF85" s="81"/>
      <c r="DG85" s="81"/>
      <c r="DH85" s="81"/>
      <c r="DI85" s="81"/>
      <c r="DJ85" s="81"/>
      <c r="DK85" s="81"/>
      <c r="DL85" s="81"/>
      <c r="DM85" s="81"/>
      <c r="DN85" s="81"/>
      <c r="DO85" s="81"/>
      <c r="DP85" s="81"/>
      <c r="DQ85" s="81"/>
      <c r="DR85" s="81"/>
      <c r="DS85" s="81"/>
      <c r="DT85" s="81"/>
      <c r="DU85" s="81"/>
      <c r="DV85" s="81"/>
      <c r="DW85" s="81"/>
      <c r="DX85" s="81"/>
      <c r="DY85" s="81"/>
      <c r="DZ85" s="81"/>
      <c r="EA85" s="81"/>
      <c r="EB85" s="81"/>
    </row>
    <row r="86" spans="2:132" ht="17.100000000000001" customHeight="1">
      <c r="B86" s="58">
        <v>4</v>
      </c>
      <c r="C86" s="58" t="s">
        <v>658</v>
      </c>
      <c r="D86" s="59"/>
      <c r="E86" s="60"/>
      <c r="F86" s="60"/>
      <c r="G86" s="60" t="s">
        <v>902</v>
      </c>
      <c r="H86" s="62"/>
      <c r="I86" s="123"/>
      <c r="J86" s="61"/>
      <c r="K86" s="61"/>
      <c r="L86" s="145"/>
      <c r="M86" s="123"/>
      <c r="N86" s="145" t="s">
        <v>836</v>
      </c>
      <c r="O86" s="145"/>
      <c r="P86" s="61"/>
      <c r="Q86" s="61"/>
      <c r="R86" s="61"/>
      <c r="S86" s="61"/>
      <c r="T86" s="61"/>
      <c r="U86" s="61"/>
      <c r="V86" s="63"/>
      <c r="W86" s="64">
        <v>45188</v>
      </c>
      <c r="X86" s="61">
        <v>3</v>
      </c>
      <c r="Y86" s="140">
        <f t="shared" si="80"/>
        <v>45190</v>
      </c>
      <c r="Z86" s="64"/>
      <c r="AA86" s="126"/>
      <c r="AB86" s="65"/>
      <c r="AC86" s="66">
        <v>0</v>
      </c>
      <c r="AD86" s="125" t="str">
        <f t="shared" si="50"/>
        <v>Open</v>
      </c>
      <c r="AE86" s="150"/>
      <c r="AF86" s="80"/>
      <c r="AG86" s="81"/>
      <c r="AH86" s="81"/>
      <c r="AI86" s="81"/>
      <c r="AJ86" s="81"/>
      <c r="AK86" s="81"/>
      <c r="AL86" s="81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  <c r="BA86" s="81"/>
      <c r="BB86" s="81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81"/>
      <c r="CF86" s="81"/>
      <c r="CG86" s="81"/>
      <c r="CH86" s="81"/>
      <c r="CI86" s="81"/>
      <c r="CJ86" s="81"/>
      <c r="CK86" s="81"/>
      <c r="CL86" s="81"/>
      <c r="CM86" s="81"/>
      <c r="CN86" s="81"/>
      <c r="CO86" s="81"/>
      <c r="CP86" s="81"/>
      <c r="CQ86" s="81"/>
      <c r="CR86" s="81"/>
      <c r="CS86" s="81"/>
      <c r="CT86" s="81"/>
      <c r="CU86" s="81"/>
      <c r="CV86" s="81"/>
      <c r="CW86" s="81"/>
      <c r="CX86" s="81"/>
      <c r="CY86" s="81"/>
      <c r="CZ86" s="81"/>
      <c r="DA86" s="81"/>
      <c r="DB86" s="81"/>
      <c r="DC86" s="81"/>
      <c r="DD86" s="81"/>
      <c r="DE86" s="81"/>
      <c r="DF86" s="81"/>
      <c r="DG86" s="81"/>
      <c r="DH86" s="81"/>
      <c r="DI86" s="81"/>
      <c r="DJ86" s="81"/>
      <c r="DK86" s="81"/>
      <c r="DL86" s="81"/>
      <c r="DM86" s="81"/>
      <c r="DN86" s="81"/>
      <c r="DO86" s="81"/>
      <c r="DP86" s="81"/>
      <c r="DQ86" s="81"/>
      <c r="DR86" s="81"/>
      <c r="DS86" s="81"/>
      <c r="DT86" s="81"/>
      <c r="DU86" s="81"/>
      <c r="DV86" s="81"/>
      <c r="DW86" s="81"/>
      <c r="DX86" s="81"/>
      <c r="DY86" s="81"/>
      <c r="DZ86" s="81"/>
      <c r="EA86" s="81"/>
      <c r="EB86" s="81"/>
    </row>
    <row r="87" spans="2:132" ht="17.100000000000001" customHeight="1">
      <c r="B87" s="58">
        <v>4</v>
      </c>
      <c r="C87" s="58" t="s">
        <v>658</v>
      </c>
      <c r="D87" s="59"/>
      <c r="E87" s="60"/>
      <c r="F87" s="60"/>
      <c r="G87" s="60" t="s">
        <v>903</v>
      </c>
      <c r="H87" s="62"/>
      <c r="I87" s="123"/>
      <c r="J87" s="61"/>
      <c r="K87" s="61"/>
      <c r="L87" s="145"/>
      <c r="M87" s="123"/>
      <c r="N87" s="145" t="s">
        <v>836</v>
      </c>
      <c r="O87" s="145"/>
      <c r="P87" s="61"/>
      <c r="Q87" s="61"/>
      <c r="R87" s="61"/>
      <c r="S87" s="61"/>
      <c r="T87" s="61"/>
      <c r="U87" s="61"/>
      <c r="V87" s="63"/>
      <c r="W87" s="64">
        <v>45191</v>
      </c>
      <c r="X87" s="61">
        <v>3</v>
      </c>
      <c r="Y87" s="140">
        <f t="shared" ref="Y87" si="81">IF(AND(W87="",X87="")=TRUE,"",WORKDAY(W87,X87-1,Holidays))</f>
        <v>45195</v>
      </c>
      <c r="Z87" s="64"/>
      <c r="AA87" s="126" t="str">
        <f t="shared" ref="AA87:AA89" ca="1" si="82">IF(AND(Z87="",AB87="")=TRUE,"",IF(AND(Z87&gt;0,AB87="")=TRUE,NETWORKDAYS(Z87,TODAY(),Holidays),NETWORKDAYS(Z87,AB87,Holidays)))</f>
        <v/>
      </c>
      <c r="AB87" s="65"/>
      <c r="AC87" s="66">
        <v>0</v>
      </c>
      <c r="AD87" s="125" t="str">
        <f t="shared" si="50"/>
        <v>Open</v>
      </c>
      <c r="AE87" s="150"/>
      <c r="AF87" s="80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  <c r="BA87" s="81"/>
      <c r="BB87" s="81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81"/>
      <c r="CF87" s="81"/>
      <c r="CG87" s="81"/>
      <c r="CH87" s="81"/>
      <c r="CI87" s="81"/>
      <c r="CJ87" s="81"/>
      <c r="CK87" s="81"/>
      <c r="CL87" s="81"/>
      <c r="CM87" s="81"/>
      <c r="CN87" s="81"/>
      <c r="CO87" s="81"/>
      <c r="CP87" s="81"/>
      <c r="CQ87" s="81"/>
      <c r="CR87" s="81"/>
      <c r="CS87" s="81"/>
      <c r="CT87" s="81"/>
      <c r="CU87" s="81"/>
      <c r="CV87" s="81"/>
      <c r="CW87" s="81"/>
      <c r="CX87" s="81"/>
      <c r="CY87" s="81"/>
      <c r="CZ87" s="81"/>
      <c r="DA87" s="81"/>
      <c r="DB87" s="81"/>
      <c r="DC87" s="81"/>
      <c r="DD87" s="81"/>
      <c r="DE87" s="81"/>
      <c r="DF87" s="81"/>
      <c r="DG87" s="81"/>
      <c r="DH87" s="81"/>
      <c r="DI87" s="81"/>
      <c r="DJ87" s="81"/>
      <c r="DK87" s="81"/>
      <c r="DL87" s="81"/>
      <c r="DM87" s="81"/>
      <c r="DN87" s="81"/>
      <c r="DO87" s="81"/>
      <c r="DP87" s="81"/>
      <c r="DQ87" s="81"/>
      <c r="DR87" s="81"/>
      <c r="DS87" s="81"/>
      <c r="DT87" s="81"/>
      <c r="DU87" s="81"/>
      <c r="DV87" s="81"/>
      <c r="DW87" s="81"/>
      <c r="DX87" s="81"/>
      <c r="DY87" s="81"/>
      <c r="DZ87" s="81"/>
      <c r="EA87" s="81"/>
      <c r="EB87" s="81"/>
    </row>
    <row r="88" spans="2:132" ht="17.100000000000001" customHeight="1">
      <c r="B88" s="92">
        <v>3</v>
      </c>
      <c r="C88" s="92" t="s">
        <v>655</v>
      </c>
      <c r="D88" s="93"/>
      <c r="E88" s="94"/>
      <c r="F88" s="94" t="s">
        <v>904</v>
      </c>
      <c r="G88" s="94"/>
      <c r="H88" s="95"/>
      <c r="I88" s="118" t="str">
        <f>IF(COUNTIF(I89:I91,"●")&gt;0,"●","")</f>
        <v>●</v>
      </c>
      <c r="J88" s="91" t="str">
        <f t="shared" ref="J88:L88" si="83">IF(COUNTIF(J89:J91,"●")&gt;0,"●","")</f>
        <v>●</v>
      </c>
      <c r="K88" s="91" t="str">
        <f t="shared" ref="K88" si="84">IF(COUNTIF(K89:K91,"●")&gt;0,"●","")</f>
        <v/>
      </c>
      <c r="L88" s="144" t="str">
        <f t="shared" si="83"/>
        <v/>
      </c>
      <c r="M88" s="118" t="str">
        <f>IF(COUNTIF(M89:M91,"●")&gt;0,"●","")</f>
        <v/>
      </c>
      <c r="N88" s="91" t="str">
        <f t="shared" ref="N88:V88" si="85">IF(COUNTIF(N89:N91,"●")&gt;0,"●","")</f>
        <v>●</v>
      </c>
      <c r="O88" s="144" t="str">
        <f t="shared" si="85"/>
        <v/>
      </c>
      <c r="P88" s="144" t="str">
        <f t="shared" si="85"/>
        <v/>
      </c>
      <c r="Q88" s="144" t="str">
        <f t="shared" si="85"/>
        <v/>
      </c>
      <c r="R88" s="144" t="str">
        <f t="shared" si="85"/>
        <v/>
      </c>
      <c r="S88" s="144" t="str">
        <f t="shared" si="85"/>
        <v/>
      </c>
      <c r="T88" s="144" t="str">
        <f t="shared" si="85"/>
        <v/>
      </c>
      <c r="U88" s="144" t="str">
        <f t="shared" si="85"/>
        <v/>
      </c>
      <c r="V88" s="144" t="str">
        <f t="shared" si="85"/>
        <v/>
      </c>
      <c r="W88" s="96">
        <f>IF(MIN(W89:W91)=0,"",MIN(W89:W91))</f>
        <v>45196</v>
      </c>
      <c r="X88" s="97">
        <f ca="1">IF(AND(W88="",Y88="")=TRUE,"",IF(AND(W88&gt;0,Y88="")=TRUE,NETWORKDAYS(W88,TODAY(),Holidays),NETWORKDAYS(W88,Y88,Holidays)))</f>
        <v>6</v>
      </c>
      <c r="Y88" s="138">
        <f>IF(MAX(Y89:Y91)=0,"",MAX(Y89:Y91))</f>
        <v>45209</v>
      </c>
      <c r="Z88" s="96" t="str">
        <f>IF(MIN(Z89:Z91)=0,"",MIN(Z89:Z91))</f>
        <v/>
      </c>
      <c r="AA88" s="97" t="str">
        <f t="shared" ca="1" si="82"/>
        <v/>
      </c>
      <c r="AB88" s="98" t="str">
        <f>IF(MAX(AB89:AB91)=0,"",MAX(AB89:AB91))</f>
        <v/>
      </c>
      <c r="AC88" s="99">
        <f>IFERROR(AVERAGE(AC89:AC91),"")</f>
        <v>0</v>
      </c>
      <c r="AD88" s="100" t="str">
        <f t="shared" si="50"/>
        <v>Open</v>
      </c>
      <c r="AE88" s="101"/>
      <c r="AF88" s="80"/>
      <c r="AG88" s="81"/>
      <c r="AH88" s="81"/>
      <c r="AI88" s="81"/>
      <c r="AJ88" s="81"/>
      <c r="AK88" s="81"/>
      <c r="AL88" s="81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  <c r="BA88" s="81"/>
      <c r="BB88" s="81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81"/>
      <c r="CF88" s="81"/>
      <c r="CG88" s="81"/>
      <c r="CH88" s="81"/>
      <c r="CI88" s="81"/>
      <c r="CJ88" s="81"/>
      <c r="CK88" s="81"/>
      <c r="CL88" s="81"/>
      <c r="CM88" s="81"/>
      <c r="CN88" s="81"/>
      <c r="CO88" s="81"/>
      <c r="CP88" s="81"/>
      <c r="CQ88" s="81"/>
      <c r="CR88" s="81"/>
      <c r="CS88" s="81"/>
      <c r="CT88" s="81"/>
      <c r="CU88" s="81"/>
      <c r="CV88" s="81"/>
      <c r="CW88" s="81"/>
      <c r="CX88" s="81"/>
      <c r="CY88" s="81"/>
      <c r="CZ88" s="81"/>
      <c r="DA88" s="81"/>
      <c r="DB88" s="81"/>
      <c r="DC88" s="81"/>
      <c r="DD88" s="81"/>
      <c r="DE88" s="81"/>
      <c r="DF88" s="81"/>
      <c r="DG88" s="81"/>
      <c r="DH88" s="81"/>
      <c r="DI88" s="81"/>
      <c r="DJ88" s="81"/>
      <c r="DK88" s="81"/>
      <c r="DL88" s="81"/>
      <c r="DM88" s="81"/>
      <c r="DN88" s="81"/>
      <c r="DO88" s="81"/>
      <c r="DP88" s="81"/>
      <c r="DQ88" s="81"/>
      <c r="DR88" s="81"/>
      <c r="DS88" s="81"/>
      <c r="DT88" s="81"/>
      <c r="DU88" s="81"/>
      <c r="DV88" s="81"/>
      <c r="DW88" s="81"/>
      <c r="DX88" s="81"/>
      <c r="DY88" s="81"/>
      <c r="DZ88" s="81"/>
      <c r="EA88" s="81"/>
      <c r="EB88" s="81"/>
    </row>
    <row r="89" spans="2:132" ht="17.100000000000001" customHeight="1">
      <c r="B89" s="58">
        <v>4</v>
      </c>
      <c r="C89" s="58" t="s">
        <v>658</v>
      </c>
      <c r="D89" s="59"/>
      <c r="E89" s="60"/>
      <c r="F89" s="60"/>
      <c r="G89" s="60" t="s">
        <v>905</v>
      </c>
      <c r="H89" s="62"/>
      <c r="I89" s="145" t="s">
        <v>836</v>
      </c>
      <c r="J89" s="145" t="s">
        <v>836</v>
      </c>
      <c r="K89" s="61"/>
      <c r="L89" s="145"/>
      <c r="M89" s="123"/>
      <c r="N89" s="145" t="s">
        <v>836</v>
      </c>
      <c r="O89" s="145"/>
      <c r="P89" s="61"/>
      <c r="Q89" s="61"/>
      <c r="R89" s="61"/>
      <c r="S89" s="61"/>
      <c r="T89" s="61"/>
      <c r="U89" s="61"/>
      <c r="V89" s="63"/>
      <c r="W89" s="64">
        <v>45196</v>
      </c>
      <c r="X89" s="61">
        <v>2</v>
      </c>
      <c r="Y89" s="140">
        <f t="shared" ref="Y89:Y90" si="86">IF(AND(W89="",X89="")=TRUE,"",WORKDAY(W89,X89-1,Holidays))</f>
        <v>45201</v>
      </c>
      <c r="Z89" s="64"/>
      <c r="AA89" s="126" t="str">
        <f t="shared" ca="1" si="82"/>
        <v/>
      </c>
      <c r="AB89" s="65"/>
      <c r="AC89" s="66">
        <v>0</v>
      </c>
      <c r="AD89" s="125" t="str">
        <f t="shared" si="50"/>
        <v>Open</v>
      </c>
      <c r="AE89" s="150"/>
      <c r="AF89" s="80"/>
      <c r="AG89" s="81"/>
      <c r="AH89" s="81"/>
      <c r="AI89" s="81"/>
      <c r="AJ89" s="81"/>
      <c r="AK89" s="81"/>
      <c r="AL89" s="81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  <c r="BA89" s="81"/>
      <c r="BB89" s="81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81"/>
      <c r="CF89" s="81"/>
      <c r="CG89" s="81"/>
      <c r="CH89" s="81"/>
      <c r="CI89" s="81"/>
      <c r="CJ89" s="81"/>
      <c r="CK89" s="81"/>
      <c r="CL89" s="81"/>
      <c r="CM89" s="81"/>
      <c r="CN89" s="81"/>
      <c r="CO89" s="81"/>
      <c r="CP89" s="81"/>
      <c r="CQ89" s="81"/>
      <c r="CR89" s="81"/>
      <c r="CS89" s="81"/>
      <c r="CT89" s="81"/>
      <c r="CU89" s="81"/>
      <c r="CV89" s="81"/>
      <c r="CW89" s="81"/>
      <c r="CX89" s="81"/>
      <c r="CY89" s="81"/>
      <c r="CZ89" s="81"/>
      <c r="DA89" s="81"/>
      <c r="DB89" s="81"/>
      <c r="DC89" s="81"/>
      <c r="DD89" s="81"/>
      <c r="DE89" s="81"/>
      <c r="DF89" s="81"/>
      <c r="DG89" s="81"/>
      <c r="DH89" s="81"/>
      <c r="DI89" s="81"/>
      <c r="DJ89" s="81"/>
      <c r="DK89" s="81"/>
      <c r="DL89" s="81"/>
      <c r="DM89" s="81"/>
      <c r="DN89" s="81"/>
      <c r="DO89" s="81"/>
      <c r="DP89" s="81"/>
      <c r="DQ89" s="81"/>
      <c r="DR89" s="81"/>
      <c r="DS89" s="81"/>
      <c r="DT89" s="81"/>
      <c r="DU89" s="81"/>
      <c r="DV89" s="81"/>
      <c r="DW89" s="81"/>
      <c r="DX89" s="81"/>
      <c r="DY89" s="81"/>
      <c r="DZ89" s="81"/>
      <c r="EA89" s="81"/>
      <c r="EB89" s="81"/>
    </row>
    <row r="90" spans="2:132" ht="17.100000000000001" customHeight="1">
      <c r="B90" s="58">
        <v>4</v>
      </c>
      <c r="C90" s="58" t="s">
        <v>658</v>
      </c>
      <c r="D90" s="59"/>
      <c r="E90" s="60"/>
      <c r="F90" s="60"/>
      <c r="G90" s="60" t="s">
        <v>906</v>
      </c>
      <c r="H90" s="62"/>
      <c r="I90" s="145" t="s">
        <v>836</v>
      </c>
      <c r="J90" s="145" t="s">
        <v>836</v>
      </c>
      <c r="K90" s="61"/>
      <c r="L90" s="145"/>
      <c r="M90" s="123"/>
      <c r="N90" s="145" t="s">
        <v>836</v>
      </c>
      <c r="O90" s="145"/>
      <c r="P90" s="61"/>
      <c r="Q90" s="61"/>
      <c r="R90" s="61"/>
      <c r="S90" s="61"/>
      <c r="T90" s="61"/>
      <c r="U90" s="61"/>
      <c r="V90" s="63"/>
      <c r="W90" s="64">
        <v>45203</v>
      </c>
      <c r="X90" s="61">
        <v>2</v>
      </c>
      <c r="Y90" s="140">
        <f t="shared" si="86"/>
        <v>45204</v>
      </c>
      <c r="Z90" s="64"/>
      <c r="AA90" s="126"/>
      <c r="AB90" s="65"/>
      <c r="AC90" s="66">
        <v>0</v>
      </c>
      <c r="AD90" s="125" t="str">
        <f t="shared" si="50"/>
        <v>Open</v>
      </c>
      <c r="AE90" s="150"/>
      <c r="AF90" s="80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81"/>
      <c r="CK90" s="81"/>
      <c r="CL90" s="81"/>
      <c r="CM90" s="81"/>
      <c r="CN90" s="81"/>
      <c r="CO90" s="81"/>
      <c r="CP90" s="81"/>
      <c r="CQ90" s="81"/>
      <c r="CR90" s="81"/>
      <c r="CS90" s="81"/>
      <c r="CT90" s="81"/>
      <c r="CU90" s="81"/>
      <c r="CV90" s="81"/>
      <c r="CW90" s="81"/>
      <c r="CX90" s="81"/>
      <c r="CY90" s="81"/>
      <c r="CZ90" s="81"/>
      <c r="DA90" s="81"/>
      <c r="DB90" s="81"/>
      <c r="DC90" s="81"/>
      <c r="DD90" s="81"/>
      <c r="DE90" s="81"/>
      <c r="DF90" s="81"/>
      <c r="DG90" s="81"/>
      <c r="DH90" s="81"/>
      <c r="DI90" s="81"/>
      <c r="DJ90" s="81"/>
      <c r="DK90" s="81"/>
      <c r="DL90" s="81"/>
      <c r="DM90" s="81"/>
      <c r="DN90" s="81"/>
      <c r="DO90" s="81"/>
      <c r="DP90" s="81"/>
      <c r="DQ90" s="81"/>
      <c r="DR90" s="81"/>
      <c r="DS90" s="81"/>
      <c r="DT90" s="81"/>
      <c r="DU90" s="81"/>
      <c r="DV90" s="81"/>
      <c r="DW90" s="81"/>
      <c r="DX90" s="81"/>
      <c r="DY90" s="81"/>
      <c r="DZ90" s="81"/>
      <c r="EA90" s="81"/>
      <c r="EB90" s="81"/>
    </row>
    <row r="91" spans="2:132" ht="17.100000000000001" customHeight="1">
      <c r="B91" s="58">
        <v>4</v>
      </c>
      <c r="C91" s="58" t="s">
        <v>658</v>
      </c>
      <c r="D91" s="59"/>
      <c r="E91" s="60"/>
      <c r="F91" s="60"/>
      <c r="G91" s="60" t="s">
        <v>907</v>
      </c>
      <c r="H91" s="62"/>
      <c r="I91" s="145" t="s">
        <v>836</v>
      </c>
      <c r="J91" s="145" t="s">
        <v>836</v>
      </c>
      <c r="K91" s="61"/>
      <c r="L91" s="145"/>
      <c r="M91" s="123"/>
      <c r="N91" s="145" t="s">
        <v>836</v>
      </c>
      <c r="O91" s="145"/>
      <c r="P91" s="61"/>
      <c r="Q91" s="61"/>
      <c r="R91" s="61"/>
      <c r="S91" s="61"/>
      <c r="T91" s="61"/>
      <c r="U91" s="61"/>
      <c r="V91" s="63"/>
      <c r="W91" s="64">
        <v>45205</v>
      </c>
      <c r="X91" s="61">
        <v>2</v>
      </c>
      <c r="Y91" s="140">
        <f t="shared" ref="Y91" si="87">IF(AND(W91="",X91="")=TRUE,"",WORKDAY(W91,X91-1,Holidays))</f>
        <v>45209</v>
      </c>
      <c r="Z91" s="64"/>
      <c r="AA91" s="126" t="str">
        <f t="shared" ref="AA91:AA95" ca="1" si="88">IF(AND(Z91="",AB91="")=TRUE,"",IF(AND(Z91&gt;0,AB91="")=TRUE,NETWORKDAYS(Z91,TODAY(),Holidays),NETWORKDAYS(Z91,AB91,Holidays)))</f>
        <v/>
      </c>
      <c r="AB91" s="65"/>
      <c r="AC91" s="66">
        <v>0</v>
      </c>
      <c r="AD91" s="125" t="str">
        <f t="shared" ref="AD91:AD96" si="89">IF(AC91=100%,"Completed",IF(AND(AC91&lt;100%,AC91&gt;0%)=TRUE,"In-Progress","Open"))</f>
        <v>Open</v>
      </c>
      <c r="AE91" s="150"/>
      <c r="AF91" s="80"/>
      <c r="AG91" s="81"/>
      <c r="AH91" s="81"/>
      <c r="AI91" s="81"/>
      <c r="AJ91" s="81"/>
      <c r="AK91" s="81"/>
      <c r="AL91" s="81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  <c r="BA91" s="81"/>
      <c r="BB91" s="81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81"/>
      <c r="CF91" s="81"/>
      <c r="CG91" s="81"/>
      <c r="CH91" s="81"/>
      <c r="CI91" s="81"/>
      <c r="CJ91" s="81"/>
      <c r="CK91" s="81"/>
      <c r="CL91" s="81"/>
      <c r="CM91" s="81"/>
      <c r="CN91" s="81"/>
      <c r="CO91" s="81"/>
      <c r="CP91" s="81"/>
      <c r="CQ91" s="81"/>
      <c r="CR91" s="81"/>
      <c r="CS91" s="81"/>
      <c r="CT91" s="81"/>
      <c r="CU91" s="81"/>
      <c r="CV91" s="81"/>
      <c r="CW91" s="81"/>
      <c r="CX91" s="81"/>
      <c r="CY91" s="81"/>
      <c r="CZ91" s="81"/>
      <c r="DA91" s="81"/>
      <c r="DB91" s="81"/>
      <c r="DC91" s="81"/>
      <c r="DD91" s="81"/>
      <c r="DE91" s="81"/>
      <c r="DF91" s="81"/>
      <c r="DG91" s="81"/>
      <c r="DH91" s="81"/>
      <c r="DI91" s="81"/>
      <c r="DJ91" s="81"/>
      <c r="DK91" s="81"/>
      <c r="DL91" s="81"/>
      <c r="DM91" s="81"/>
      <c r="DN91" s="81"/>
      <c r="DO91" s="81"/>
      <c r="DP91" s="81"/>
      <c r="DQ91" s="81"/>
      <c r="DR91" s="81"/>
      <c r="DS91" s="81"/>
      <c r="DT91" s="81"/>
      <c r="DU91" s="81"/>
      <c r="DV91" s="81"/>
      <c r="DW91" s="81"/>
      <c r="DX91" s="81"/>
      <c r="DY91" s="81"/>
      <c r="DZ91" s="81"/>
      <c r="EA91" s="81"/>
      <c r="EB91" s="81"/>
    </row>
    <row r="92" spans="2:132" ht="17.100000000000001" customHeight="1">
      <c r="B92" s="83">
        <v>1</v>
      </c>
      <c r="C92" s="83" t="s">
        <v>655</v>
      </c>
      <c r="D92" s="141" t="s">
        <v>908</v>
      </c>
      <c r="E92" s="142"/>
      <c r="F92" s="142"/>
      <c r="G92" s="142"/>
      <c r="H92" s="143"/>
      <c r="I92" s="117" t="str">
        <f>IF(COUNTIF(I93:I97,"●")&gt;0,"●","")</f>
        <v/>
      </c>
      <c r="J92" s="82" t="str">
        <f t="shared" ref="J92:L92" si="90">IF(COUNTIF(J93:J97,"●")&gt;0,"●","")</f>
        <v/>
      </c>
      <c r="K92" s="82" t="str">
        <f t="shared" ref="K92" si="91">IF(COUNTIF(K93:K97,"●")&gt;0,"●","")</f>
        <v/>
      </c>
      <c r="L92" s="146" t="str">
        <f t="shared" si="90"/>
        <v/>
      </c>
      <c r="M92" s="117" t="str">
        <f>IF(COUNTIF(M93:M97,"●")&gt;0,"●","")</f>
        <v/>
      </c>
      <c r="N92" s="82" t="str">
        <f t="shared" ref="N92:V92" si="92">IF(COUNTIF(N93:N97,"●")&gt;0,"●","")</f>
        <v/>
      </c>
      <c r="O92" s="146" t="str">
        <f t="shared" si="92"/>
        <v/>
      </c>
      <c r="P92" s="146" t="str">
        <f t="shared" si="92"/>
        <v>●</v>
      </c>
      <c r="Q92" s="146" t="str">
        <f t="shared" si="92"/>
        <v/>
      </c>
      <c r="R92" s="146" t="str">
        <f t="shared" si="92"/>
        <v/>
      </c>
      <c r="S92" s="146" t="str">
        <f t="shared" si="92"/>
        <v/>
      </c>
      <c r="T92" s="146" t="str">
        <f t="shared" si="92"/>
        <v/>
      </c>
      <c r="U92" s="146" t="str">
        <f t="shared" si="92"/>
        <v/>
      </c>
      <c r="V92" s="146" t="str">
        <f t="shared" si="92"/>
        <v/>
      </c>
      <c r="W92" s="85">
        <f>IF(MIN(W93:W97)=0,"",MIN(W93:W151))</f>
        <v>45180</v>
      </c>
      <c r="X92" s="86">
        <f ca="1">IF(AND(W92="",Y92="")=TRUE,"",IF(AND(W92&gt;0,Y92="")=TRUE,NETWORKDAYS(W92,TODAY(),Holidays),NETWORKDAYS(W92,Y92,Holidays)))</f>
        <v>21</v>
      </c>
      <c r="Y92" s="87">
        <f>IF(MAX(Y93:Y97)=0,"",MAX(Y93:Y97))</f>
        <v>45212</v>
      </c>
      <c r="Z92" s="85" t="str">
        <f>IF(MIN(Z93:Z97)=0,"",MIN(Z93:Z151))</f>
        <v/>
      </c>
      <c r="AA92" s="86" t="str">
        <f t="shared" ca="1" si="88"/>
        <v/>
      </c>
      <c r="AB92" s="87" t="str">
        <f>IF(MAX(AB93:AB97)=0,"",MAX(AB93:AB97))</f>
        <v/>
      </c>
      <c r="AC92" s="88">
        <f>IFERROR(AVERAGE(AC93),"")</f>
        <v>0</v>
      </c>
      <c r="AD92" s="89" t="str">
        <f t="shared" si="89"/>
        <v>Open</v>
      </c>
      <c r="AE92" s="90"/>
      <c r="AF92" s="80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1"/>
      <c r="CI92" s="81"/>
      <c r="CJ92" s="81"/>
      <c r="CK92" s="81"/>
      <c r="CL92" s="81"/>
      <c r="CM92" s="81"/>
      <c r="CN92" s="81"/>
      <c r="CO92" s="81"/>
      <c r="CP92" s="81"/>
      <c r="CQ92" s="81"/>
      <c r="CR92" s="81"/>
      <c r="CS92" s="81"/>
      <c r="CT92" s="81"/>
      <c r="CU92" s="81"/>
      <c r="CV92" s="81"/>
      <c r="CW92" s="81"/>
      <c r="CX92" s="81"/>
      <c r="CY92" s="81"/>
      <c r="CZ92" s="81"/>
      <c r="DA92" s="81"/>
      <c r="DB92" s="81"/>
      <c r="DC92" s="81"/>
      <c r="DD92" s="81"/>
      <c r="DE92" s="81"/>
      <c r="DF92" s="81"/>
      <c r="DG92" s="81"/>
      <c r="DH92" s="81"/>
      <c r="DI92" s="81"/>
      <c r="DJ92" s="81"/>
      <c r="DK92" s="81"/>
      <c r="DL92" s="81"/>
      <c r="DM92" s="81"/>
      <c r="DN92" s="81"/>
      <c r="DO92" s="81"/>
      <c r="DP92" s="81"/>
      <c r="DQ92" s="81"/>
      <c r="DR92" s="81"/>
      <c r="DS92" s="81"/>
      <c r="DT92" s="81"/>
      <c r="DU92" s="81"/>
      <c r="DV92" s="81"/>
      <c r="DW92" s="81"/>
      <c r="DX92" s="81"/>
      <c r="DY92" s="81"/>
      <c r="DZ92" s="81"/>
      <c r="EA92" s="81"/>
      <c r="EB92" s="81"/>
    </row>
    <row r="93" spans="2:132" ht="17.100000000000001" customHeight="1">
      <c r="B93" s="92">
        <v>2</v>
      </c>
      <c r="C93" s="92" t="s">
        <v>655</v>
      </c>
      <c r="D93" s="93"/>
      <c r="E93" s="94" t="s">
        <v>909</v>
      </c>
      <c r="F93" s="94"/>
      <c r="G93" s="94"/>
      <c r="H93" s="95"/>
      <c r="I93" s="118" t="str">
        <f>IF(COUNTIF(I94:I97,"●")&gt;0,"●","")</f>
        <v/>
      </c>
      <c r="J93" s="91" t="str">
        <f t="shared" ref="J93:L93" si="93">IF(COUNTIF(J94:J97,"●")&gt;0,"●","")</f>
        <v/>
      </c>
      <c r="K93" s="91" t="str">
        <f t="shared" ref="K93" si="94">IF(COUNTIF(K94:K97,"●")&gt;0,"●","")</f>
        <v/>
      </c>
      <c r="L93" s="144" t="str">
        <f t="shared" si="93"/>
        <v/>
      </c>
      <c r="M93" s="118" t="str">
        <f>IF(COUNTIF(M94:M97,"●")&gt;0,"●","")</f>
        <v/>
      </c>
      <c r="N93" s="91" t="str">
        <f t="shared" ref="N93:V93" si="95">IF(COUNTIF(N94:N97,"●")&gt;0,"●","")</f>
        <v/>
      </c>
      <c r="O93" s="144" t="str">
        <f t="shared" si="95"/>
        <v/>
      </c>
      <c r="P93" s="144" t="str">
        <f t="shared" si="95"/>
        <v>●</v>
      </c>
      <c r="Q93" s="144" t="str">
        <f t="shared" si="95"/>
        <v/>
      </c>
      <c r="R93" s="144" t="str">
        <f t="shared" si="95"/>
        <v/>
      </c>
      <c r="S93" s="144" t="str">
        <f t="shared" si="95"/>
        <v/>
      </c>
      <c r="T93" s="144" t="str">
        <f t="shared" si="95"/>
        <v/>
      </c>
      <c r="U93" s="144" t="str">
        <f t="shared" si="95"/>
        <v/>
      </c>
      <c r="V93" s="144" t="str">
        <f t="shared" si="95"/>
        <v/>
      </c>
      <c r="W93" s="96">
        <f>IF(MIN(W94:W97)=0,"",MIN(W94:W97))</f>
        <v>45204</v>
      </c>
      <c r="X93" s="97">
        <f ca="1">IF(AND(W93="",Y93="")=TRUE,"",IF(AND(W93&gt;0,Y93="")=TRUE,NETWORKDAYS(W93,TODAY(),Holidays),NETWORKDAYS(W93,Y93,Holidays)))</f>
        <v>6</v>
      </c>
      <c r="Y93" s="139">
        <f>IF(MAX(Y94:Y97)=0,"",MAX(Y94:Y97))</f>
        <v>45212</v>
      </c>
      <c r="Z93" s="96" t="str">
        <f>IF(MIN(Z94:Z97)=0,"",MIN(Z94:Z97))</f>
        <v/>
      </c>
      <c r="AA93" s="97" t="str">
        <f t="shared" ca="1" si="88"/>
        <v/>
      </c>
      <c r="AB93" s="98" t="str">
        <f>IF(MAX(AB94:AB97)=0,"",MAX(AB94:AB97))</f>
        <v/>
      </c>
      <c r="AC93" s="99">
        <f>IFERROR(AVERAGE(AC94),"")</f>
        <v>0</v>
      </c>
      <c r="AD93" s="100" t="str">
        <f t="shared" si="89"/>
        <v>Open</v>
      </c>
      <c r="AE93" s="101"/>
      <c r="AF93" s="80"/>
      <c r="AG93" s="81"/>
      <c r="AH93" s="81"/>
      <c r="AI93" s="81"/>
      <c r="AJ93" s="81"/>
      <c r="AK93" s="81"/>
      <c r="AL93" s="81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  <c r="BA93" s="81"/>
      <c r="BB93" s="81"/>
      <c r="BC93" s="81"/>
      <c r="BD93" s="81"/>
      <c r="BE93" s="81"/>
      <c r="BF93" s="81"/>
      <c r="BG93" s="81"/>
      <c r="BH93" s="81"/>
      <c r="BI93" s="81"/>
      <c r="BJ93" s="81"/>
      <c r="BK93" s="81"/>
      <c r="BL93" s="81"/>
      <c r="BM93" s="81"/>
      <c r="BN93" s="81"/>
      <c r="BO93" s="81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81"/>
      <c r="CC93" s="81"/>
      <c r="CD93" s="81"/>
      <c r="CE93" s="81"/>
      <c r="CF93" s="81"/>
      <c r="CG93" s="81"/>
      <c r="CH93" s="81"/>
      <c r="CI93" s="81"/>
      <c r="CJ93" s="81"/>
      <c r="CK93" s="81"/>
      <c r="CL93" s="81"/>
      <c r="CM93" s="81"/>
      <c r="CN93" s="81"/>
      <c r="CO93" s="81"/>
      <c r="CP93" s="81"/>
      <c r="CQ93" s="81"/>
      <c r="CR93" s="81"/>
      <c r="CS93" s="81"/>
      <c r="CT93" s="81"/>
      <c r="CU93" s="81"/>
      <c r="CV93" s="81"/>
      <c r="CW93" s="81"/>
      <c r="CX93" s="81"/>
      <c r="CY93" s="81"/>
      <c r="CZ93" s="81"/>
      <c r="DA93" s="81"/>
      <c r="DB93" s="81"/>
      <c r="DC93" s="81"/>
      <c r="DD93" s="81"/>
      <c r="DE93" s="81"/>
      <c r="DF93" s="81"/>
      <c r="DG93" s="81"/>
      <c r="DH93" s="81"/>
      <c r="DI93" s="81"/>
      <c r="DJ93" s="81"/>
      <c r="DK93" s="81"/>
      <c r="DL93" s="81"/>
      <c r="DM93" s="81"/>
      <c r="DN93" s="81"/>
      <c r="DO93" s="81"/>
      <c r="DP93" s="81"/>
      <c r="DQ93" s="81"/>
      <c r="DR93" s="81"/>
      <c r="DS93" s="81"/>
      <c r="DT93" s="81"/>
      <c r="DU93" s="81"/>
      <c r="DV93" s="81"/>
      <c r="DW93" s="81"/>
      <c r="DX93" s="81"/>
      <c r="DY93" s="81"/>
      <c r="DZ93" s="81"/>
      <c r="EA93" s="81"/>
      <c r="EB93" s="81"/>
    </row>
    <row r="94" spans="2:132" ht="17.100000000000001" customHeight="1">
      <c r="B94" s="92">
        <v>3</v>
      </c>
      <c r="C94" s="92" t="s">
        <v>655</v>
      </c>
      <c r="D94" s="93"/>
      <c r="E94" s="94"/>
      <c r="F94" s="94" t="s">
        <v>910</v>
      </c>
      <c r="G94" s="94"/>
      <c r="H94" s="95"/>
      <c r="I94" s="118" t="str">
        <f>IF(COUNTIF(I95:I97,"●")&gt;0,"●","")</f>
        <v/>
      </c>
      <c r="J94" s="91" t="str">
        <f t="shared" ref="J94:L94" si="96">IF(COUNTIF(J95:J97,"●")&gt;0,"●","")</f>
        <v/>
      </c>
      <c r="K94" s="91" t="str">
        <f t="shared" ref="K94" si="97">IF(COUNTIF(K95:K97,"●")&gt;0,"●","")</f>
        <v/>
      </c>
      <c r="L94" s="144" t="str">
        <f t="shared" si="96"/>
        <v/>
      </c>
      <c r="M94" s="118" t="str">
        <f>IF(COUNTIF(M95:M97,"●")&gt;0,"●","")</f>
        <v/>
      </c>
      <c r="N94" s="91" t="str">
        <f t="shared" ref="N94:V94" si="98">IF(COUNTIF(N95:N97,"●")&gt;0,"●","")</f>
        <v/>
      </c>
      <c r="O94" s="144" t="str">
        <f t="shared" si="98"/>
        <v/>
      </c>
      <c r="P94" s="144" t="str">
        <f t="shared" si="98"/>
        <v>●</v>
      </c>
      <c r="Q94" s="144" t="str">
        <f t="shared" si="98"/>
        <v/>
      </c>
      <c r="R94" s="144" t="str">
        <f t="shared" si="98"/>
        <v/>
      </c>
      <c r="S94" s="144" t="str">
        <f t="shared" si="98"/>
        <v/>
      </c>
      <c r="T94" s="144" t="str">
        <f t="shared" si="98"/>
        <v/>
      </c>
      <c r="U94" s="144" t="str">
        <f t="shared" si="98"/>
        <v/>
      </c>
      <c r="V94" s="144" t="str">
        <f t="shared" si="98"/>
        <v/>
      </c>
      <c r="W94" s="96">
        <f>IF(MIN(W95:W97)=0,"",MIN(W95:W97))</f>
        <v>45204</v>
      </c>
      <c r="X94" s="97">
        <f ca="1">IF(AND(W94="",Y94="")=TRUE,"",IF(AND(W94&gt;0,Y94="")=TRUE,NETWORKDAYS(W94,TODAY(),Holidays),NETWORKDAYS(W94,Y94,Holidays)))</f>
        <v>6</v>
      </c>
      <c r="Y94" s="138">
        <f>IF(MAX(Y95:Y97)=0,"",MAX(Y95:Y97))</f>
        <v>45212</v>
      </c>
      <c r="Z94" s="96" t="str">
        <f>IF(MIN(Z95:Z97)=0,"",MIN(Z95:Z97))</f>
        <v/>
      </c>
      <c r="AA94" s="97" t="str">
        <f t="shared" ca="1" si="88"/>
        <v/>
      </c>
      <c r="AB94" s="98" t="str">
        <f>IF(MAX(AB95:AB97)=0,"",MAX(AB95:AB97))</f>
        <v/>
      </c>
      <c r="AC94" s="99">
        <f>IFERROR(AVERAGE(AC95:AC97),"")</f>
        <v>0</v>
      </c>
      <c r="AD94" s="100" t="str">
        <f t="shared" si="89"/>
        <v>Open</v>
      </c>
      <c r="AE94" s="101"/>
      <c r="AF94" s="80"/>
      <c r="AG94" s="81"/>
      <c r="AH94" s="81"/>
      <c r="AI94" s="81"/>
      <c r="AJ94" s="81"/>
      <c r="AK94" s="81"/>
      <c r="AL94" s="81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  <c r="BA94" s="81"/>
      <c r="BB94" s="81"/>
      <c r="BC94" s="81"/>
      <c r="BD94" s="81"/>
      <c r="BE94" s="81"/>
      <c r="BF94" s="81"/>
      <c r="BG94" s="81"/>
      <c r="BH94" s="81"/>
      <c r="BI94" s="81"/>
      <c r="BJ94" s="81"/>
      <c r="BK94" s="81"/>
      <c r="BL94" s="81"/>
      <c r="BM94" s="81"/>
      <c r="BN94" s="81"/>
      <c r="BO94" s="81"/>
      <c r="BP94" s="81"/>
      <c r="BQ94" s="81"/>
      <c r="BR94" s="81"/>
      <c r="BS94" s="81"/>
      <c r="BT94" s="81"/>
      <c r="BU94" s="81"/>
      <c r="BV94" s="81"/>
      <c r="BW94" s="81"/>
      <c r="BX94" s="81"/>
      <c r="BY94" s="81"/>
      <c r="BZ94" s="81"/>
      <c r="CA94" s="81"/>
      <c r="CB94" s="81"/>
      <c r="CC94" s="81"/>
      <c r="CD94" s="81"/>
      <c r="CE94" s="81"/>
      <c r="CF94" s="81"/>
      <c r="CG94" s="81"/>
      <c r="CH94" s="81"/>
      <c r="CI94" s="81"/>
      <c r="CJ94" s="81"/>
      <c r="CK94" s="81"/>
      <c r="CL94" s="81"/>
      <c r="CM94" s="81"/>
      <c r="CN94" s="81"/>
      <c r="CO94" s="81"/>
      <c r="CP94" s="81"/>
      <c r="CQ94" s="81"/>
      <c r="CR94" s="81"/>
      <c r="CS94" s="81"/>
      <c r="CT94" s="81"/>
      <c r="CU94" s="81"/>
      <c r="CV94" s="81"/>
      <c r="CW94" s="81"/>
      <c r="CX94" s="81"/>
      <c r="CY94" s="81"/>
      <c r="CZ94" s="81"/>
      <c r="DA94" s="81"/>
      <c r="DB94" s="81"/>
      <c r="DC94" s="81"/>
      <c r="DD94" s="81"/>
      <c r="DE94" s="81"/>
      <c r="DF94" s="81"/>
      <c r="DG94" s="81"/>
      <c r="DH94" s="81"/>
      <c r="DI94" s="81"/>
      <c r="DJ94" s="81"/>
      <c r="DK94" s="81"/>
      <c r="DL94" s="81"/>
      <c r="DM94" s="81"/>
      <c r="DN94" s="81"/>
      <c r="DO94" s="81"/>
      <c r="DP94" s="81"/>
      <c r="DQ94" s="81"/>
      <c r="DR94" s="81"/>
      <c r="DS94" s="81"/>
      <c r="DT94" s="81"/>
      <c r="DU94" s="81"/>
      <c r="DV94" s="81"/>
      <c r="DW94" s="81"/>
      <c r="DX94" s="81"/>
      <c r="DY94" s="81"/>
      <c r="DZ94" s="81"/>
      <c r="EA94" s="81"/>
      <c r="EB94" s="81"/>
    </row>
    <row r="95" spans="2:132" ht="17.100000000000001" customHeight="1">
      <c r="B95" s="58">
        <v>4</v>
      </c>
      <c r="C95" s="58" t="s">
        <v>658</v>
      </c>
      <c r="D95" s="59"/>
      <c r="E95" s="60"/>
      <c r="F95" s="60"/>
      <c r="G95" s="60" t="s">
        <v>911</v>
      </c>
      <c r="H95" s="62"/>
      <c r="I95" s="123"/>
      <c r="J95" s="61"/>
      <c r="K95" s="61"/>
      <c r="L95" s="145"/>
      <c r="M95" s="145"/>
      <c r="N95" s="61"/>
      <c r="O95" s="145"/>
      <c r="P95" s="145" t="s">
        <v>836</v>
      </c>
      <c r="Q95" s="61"/>
      <c r="R95" s="61"/>
      <c r="S95" s="61"/>
      <c r="T95" s="61"/>
      <c r="U95" s="61"/>
      <c r="V95" s="63"/>
      <c r="W95" s="64">
        <v>45204</v>
      </c>
      <c r="X95" s="61">
        <v>2</v>
      </c>
      <c r="Y95" s="140">
        <f t="shared" ref="Y95:Y96" si="99">IF(AND(W95="",X95="")=TRUE,"",WORKDAY(W95,X95-1,Holidays))</f>
        <v>45205</v>
      </c>
      <c r="Z95" s="64"/>
      <c r="AA95" s="126" t="str">
        <f t="shared" ca="1" si="88"/>
        <v/>
      </c>
      <c r="AB95" s="65"/>
      <c r="AC95" s="66">
        <v>0</v>
      </c>
      <c r="AD95" s="125" t="str">
        <f t="shared" si="89"/>
        <v>Open</v>
      </c>
      <c r="AE95" s="150"/>
      <c r="AF95" s="80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1"/>
      <c r="CI95" s="81"/>
      <c r="CJ95" s="81"/>
      <c r="CK95" s="81"/>
      <c r="CL95" s="81"/>
      <c r="CM95" s="81"/>
      <c r="CN95" s="81"/>
      <c r="CO95" s="81"/>
      <c r="CP95" s="81"/>
      <c r="CQ95" s="81"/>
      <c r="CR95" s="81"/>
      <c r="CS95" s="81"/>
      <c r="CT95" s="81"/>
      <c r="CU95" s="81"/>
      <c r="CV95" s="81"/>
      <c r="CW95" s="81"/>
      <c r="CX95" s="81"/>
      <c r="CY95" s="81"/>
      <c r="CZ95" s="81"/>
      <c r="DA95" s="81"/>
      <c r="DB95" s="81"/>
      <c r="DC95" s="81"/>
      <c r="DD95" s="81"/>
      <c r="DE95" s="81"/>
      <c r="DF95" s="81"/>
      <c r="DG95" s="81"/>
      <c r="DH95" s="81"/>
      <c r="DI95" s="81"/>
      <c r="DJ95" s="81"/>
      <c r="DK95" s="81"/>
      <c r="DL95" s="81"/>
      <c r="DM95" s="81"/>
      <c r="DN95" s="81"/>
      <c r="DO95" s="81"/>
      <c r="DP95" s="81"/>
      <c r="DQ95" s="81"/>
      <c r="DR95" s="81"/>
      <c r="DS95" s="81"/>
      <c r="DT95" s="81"/>
      <c r="DU95" s="81"/>
      <c r="DV95" s="81"/>
      <c r="DW95" s="81"/>
      <c r="DX95" s="81"/>
      <c r="DY95" s="81"/>
      <c r="DZ95" s="81"/>
      <c r="EA95" s="81"/>
      <c r="EB95" s="81"/>
    </row>
    <row r="96" spans="2:132" ht="17.100000000000001" customHeight="1">
      <c r="B96" s="58">
        <v>4</v>
      </c>
      <c r="C96" s="58" t="s">
        <v>658</v>
      </c>
      <c r="D96" s="59"/>
      <c r="E96" s="60"/>
      <c r="F96" s="60"/>
      <c r="G96" s="60" t="s">
        <v>912</v>
      </c>
      <c r="H96" s="62"/>
      <c r="I96" s="123"/>
      <c r="J96" s="61"/>
      <c r="K96" s="61"/>
      <c r="L96" s="145"/>
      <c r="M96" s="145"/>
      <c r="N96" s="61"/>
      <c r="O96" s="145"/>
      <c r="P96" s="145" t="s">
        <v>836</v>
      </c>
      <c r="Q96" s="61"/>
      <c r="R96" s="61"/>
      <c r="S96" s="61"/>
      <c r="T96" s="61"/>
      <c r="U96" s="61"/>
      <c r="V96" s="63"/>
      <c r="W96" s="64">
        <v>45209</v>
      </c>
      <c r="X96" s="61">
        <v>2</v>
      </c>
      <c r="Y96" s="140">
        <f t="shared" si="99"/>
        <v>45210</v>
      </c>
      <c r="Z96" s="64"/>
      <c r="AA96" s="126"/>
      <c r="AB96" s="65"/>
      <c r="AC96" s="66">
        <v>0</v>
      </c>
      <c r="AD96" s="125" t="str">
        <f t="shared" si="89"/>
        <v>Open</v>
      </c>
      <c r="AE96" s="150"/>
      <c r="AF96" s="80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81"/>
      <c r="CK96" s="81"/>
      <c r="CL96" s="81"/>
      <c r="CM96" s="81"/>
      <c r="CN96" s="81"/>
      <c r="CO96" s="81"/>
      <c r="CP96" s="81"/>
      <c r="CQ96" s="81"/>
      <c r="CR96" s="81"/>
      <c r="CS96" s="81"/>
      <c r="CT96" s="81"/>
      <c r="CU96" s="81"/>
      <c r="CV96" s="81"/>
      <c r="CW96" s="81"/>
      <c r="CX96" s="81"/>
      <c r="CY96" s="81"/>
      <c r="CZ96" s="81"/>
      <c r="DA96" s="81"/>
      <c r="DB96" s="81"/>
      <c r="DC96" s="81"/>
      <c r="DD96" s="81"/>
      <c r="DE96" s="81"/>
      <c r="DF96" s="81"/>
      <c r="DG96" s="81"/>
      <c r="DH96" s="81"/>
      <c r="DI96" s="81"/>
      <c r="DJ96" s="81"/>
      <c r="DK96" s="81"/>
      <c r="DL96" s="81"/>
      <c r="DM96" s="81"/>
      <c r="DN96" s="81"/>
      <c r="DO96" s="81"/>
      <c r="DP96" s="81"/>
      <c r="DQ96" s="81"/>
      <c r="DR96" s="81"/>
      <c r="DS96" s="81"/>
      <c r="DT96" s="81"/>
      <c r="DU96" s="81"/>
      <c r="DV96" s="81"/>
      <c r="DW96" s="81"/>
      <c r="DX96" s="81"/>
      <c r="DY96" s="81"/>
      <c r="DZ96" s="81"/>
      <c r="EA96" s="81"/>
      <c r="EB96" s="81"/>
    </row>
    <row r="97" spans="2:132" ht="17.100000000000001" customHeight="1">
      <c r="B97" s="58">
        <v>4</v>
      </c>
      <c r="C97" s="58" t="s">
        <v>658</v>
      </c>
      <c r="D97" s="59"/>
      <c r="E97" s="60"/>
      <c r="F97" s="60"/>
      <c r="G97" s="60" t="s">
        <v>913</v>
      </c>
      <c r="H97" s="62"/>
      <c r="I97" s="123"/>
      <c r="J97" s="61"/>
      <c r="K97" s="61"/>
      <c r="L97" s="145"/>
      <c r="M97" s="145"/>
      <c r="N97" s="61"/>
      <c r="O97" s="145"/>
      <c r="P97" s="145" t="s">
        <v>836</v>
      </c>
      <c r="Q97" s="61"/>
      <c r="R97" s="61"/>
      <c r="S97" s="61"/>
      <c r="T97" s="61"/>
      <c r="U97" s="61"/>
      <c r="V97" s="63"/>
      <c r="W97" s="64">
        <v>45211</v>
      </c>
      <c r="X97" s="61">
        <v>2</v>
      </c>
      <c r="Y97" s="140">
        <f t="shared" ref="Y97" si="100">IF(AND(W97="",X97="")=TRUE,"",WORKDAY(W97,X97-1,Holidays))</f>
        <v>45212</v>
      </c>
      <c r="Z97" s="64"/>
      <c r="AA97" s="126" t="str">
        <f t="shared" ref="AA97:AA101" ca="1" si="101">IF(AND(Z97="",AB97="")=TRUE,"",IF(AND(Z97&gt;0,AB97="")=TRUE,NETWORKDAYS(Z97,TODAY(),Holidays),NETWORKDAYS(Z97,AB97,Holidays)))</f>
        <v/>
      </c>
      <c r="AB97" s="65"/>
      <c r="AC97" s="66">
        <v>0</v>
      </c>
      <c r="AD97" s="125" t="str">
        <f t="shared" ref="AD97:AD105" si="102">IF(AC97=100%,"Completed",IF(AND(AC97&lt;100%,AC97&gt;0%)=TRUE,"In-Progress","Open"))</f>
        <v>Open</v>
      </c>
      <c r="AE97" s="150"/>
      <c r="AF97" s="80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81"/>
      <c r="CN97" s="81"/>
      <c r="CO97" s="81"/>
      <c r="CP97" s="81"/>
      <c r="CQ97" s="81"/>
      <c r="CR97" s="81"/>
      <c r="CS97" s="81"/>
      <c r="CT97" s="81"/>
      <c r="CU97" s="81"/>
      <c r="CV97" s="81"/>
      <c r="CW97" s="81"/>
      <c r="CX97" s="81"/>
      <c r="CY97" s="81"/>
      <c r="CZ97" s="81"/>
      <c r="DA97" s="81"/>
      <c r="DB97" s="81"/>
      <c r="DC97" s="81"/>
      <c r="DD97" s="81"/>
      <c r="DE97" s="81"/>
      <c r="DF97" s="81"/>
      <c r="DG97" s="81"/>
      <c r="DH97" s="81"/>
      <c r="DI97" s="81"/>
      <c r="DJ97" s="81"/>
      <c r="DK97" s="81"/>
      <c r="DL97" s="81"/>
      <c r="DM97" s="81"/>
      <c r="DN97" s="81"/>
      <c r="DO97" s="81"/>
      <c r="DP97" s="81"/>
      <c r="DQ97" s="81"/>
      <c r="DR97" s="81"/>
      <c r="DS97" s="81"/>
      <c r="DT97" s="81"/>
      <c r="DU97" s="81"/>
      <c r="DV97" s="81"/>
      <c r="DW97" s="81"/>
      <c r="DX97" s="81"/>
      <c r="DY97" s="81"/>
      <c r="DZ97" s="81"/>
      <c r="EA97" s="81"/>
      <c r="EB97" s="81"/>
    </row>
    <row r="98" spans="2:132" ht="17.100000000000001" customHeight="1">
      <c r="B98" s="83">
        <v>1</v>
      </c>
      <c r="C98" s="83" t="s">
        <v>655</v>
      </c>
      <c r="D98" s="141" t="s">
        <v>914</v>
      </c>
      <c r="E98" s="142"/>
      <c r="F98" s="142"/>
      <c r="G98" s="142"/>
      <c r="H98" s="143"/>
      <c r="I98" s="117" t="str">
        <f t="shared" ref="I98:V98" si="103">IF(COUNTIF(I99:I120,"●")&gt;0,"●","")</f>
        <v/>
      </c>
      <c r="J98" s="82" t="str">
        <f t="shared" si="103"/>
        <v/>
      </c>
      <c r="K98" s="82" t="str">
        <f t="shared" si="103"/>
        <v/>
      </c>
      <c r="L98" s="146" t="str">
        <f t="shared" si="103"/>
        <v/>
      </c>
      <c r="M98" s="117" t="str">
        <f t="shared" si="103"/>
        <v/>
      </c>
      <c r="N98" s="82" t="str">
        <f t="shared" si="103"/>
        <v>●</v>
      </c>
      <c r="O98" s="146" t="str">
        <f t="shared" si="103"/>
        <v>●</v>
      </c>
      <c r="P98" s="146" t="str">
        <f t="shared" si="103"/>
        <v>●</v>
      </c>
      <c r="Q98" s="146" t="str">
        <f t="shared" si="103"/>
        <v/>
      </c>
      <c r="R98" s="146" t="str">
        <f t="shared" si="103"/>
        <v/>
      </c>
      <c r="S98" s="146" t="str">
        <f t="shared" si="103"/>
        <v/>
      </c>
      <c r="T98" s="146" t="str">
        <f t="shared" si="103"/>
        <v/>
      </c>
      <c r="U98" s="146" t="str">
        <f t="shared" si="103"/>
        <v/>
      </c>
      <c r="V98" s="146" t="str">
        <f t="shared" si="103"/>
        <v/>
      </c>
      <c r="W98" s="85">
        <f>IF(MIN(W99:W120)=0,"",MIN(W99:W157))</f>
        <v>45180</v>
      </c>
      <c r="X98" s="86">
        <f ca="1">IF(AND(W98="",Y98="")=TRUE,"",IF(AND(W98&gt;0,Y98="")=TRUE,NETWORKDAYS(W98,TODAY(),Holidays),NETWORKDAYS(W98,Y98,Holidays)))</f>
        <v>43</v>
      </c>
      <c r="Y98" s="87">
        <f>IF(MAX(Y99:Y120)=0,"",MAX(Y99:Y120))</f>
        <v>45244</v>
      </c>
      <c r="Z98" s="85" t="str">
        <f>IF(MIN(Z99:Z120)=0,"",MIN(Z99:Z120))</f>
        <v/>
      </c>
      <c r="AA98" s="86" t="str">
        <f t="shared" ca="1" si="101"/>
        <v/>
      </c>
      <c r="AB98" s="87" t="str">
        <f>IF(MAX(AB99:AB120)=0,"",MAX(AB99:AB120))</f>
        <v/>
      </c>
      <c r="AC98" s="88">
        <f>IFERROR(AVERAGE(AC99),"")</f>
        <v>0</v>
      </c>
      <c r="AD98" s="89" t="str">
        <f t="shared" si="102"/>
        <v>Open</v>
      </c>
      <c r="AE98" s="90"/>
      <c r="AF98" s="80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81"/>
      <c r="CN98" s="81"/>
      <c r="CO98" s="81"/>
      <c r="CP98" s="81"/>
      <c r="CQ98" s="81"/>
      <c r="CR98" s="81"/>
      <c r="CS98" s="81"/>
      <c r="CT98" s="81"/>
      <c r="CU98" s="81"/>
      <c r="CV98" s="81"/>
      <c r="CW98" s="81"/>
      <c r="CX98" s="81"/>
      <c r="CY98" s="81"/>
      <c r="CZ98" s="81"/>
      <c r="DA98" s="81"/>
      <c r="DB98" s="81"/>
      <c r="DC98" s="81"/>
      <c r="DD98" s="81"/>
      <c r="DE98" s="81"/>
      <c r="DF98" s="81"/>
      <c r="DG98" s="81"/>
      <c r="DH98" s="81"/>
      <c r="DI98" s="81"/>
      <c r="DJ98" s="81"/>
      <c r="DK98" s="81"/>
      <c r="DL98" s="81"/>
      <c r="DM98" s="81"/>
      <c r="DN98" s="81"/>
      <c r="DO98" s="81"/>
      <c r="DP98" s="81"/>
      <c r="DQ98" s="81"/>
      <c r="DR98" s="81"/>
      <c r="DS98" s="81"/>
      <c r="DT98" s="81"/>
      <c r="DU98" s="81"/>
      <c r="DV98" s="81"/>
      <c r="DW98" s="81"/>
      <c r="DX98" s="81"/>
      <c r="DY98" s="81"/>
      <c r="DZ98" s="81"/>
      <c r="EA98" s="81"/>
      <c r="EB98" s="81"/>
    </row>
    <row r="99" spans="2:132" ht="17.100000000000001" customHeight="1">
      <c r="B99" s="92">
        <v>2</v>
      </c>
      <c r="C99" s="92" t="s">
        <v>655</v>
      </c>
      <c r="D99" s="93"/>
      <c r="E99" s="94" t="s">
        <v>915</v>
      </c>
      <c r="F99" s="94"/>
      <c r="G99" s="94"/>
      <c r="H99" s="95"/>
      <c r="I99" s="118" t="str">
        <f t="shared" ref="I99:V99" si="104">IF(COUNTIF(I100:I106,"●")&gt;0,"●","")</f>
        <v/>
      </c>
      <c r="J99" s="91" t="str">
        <f t="shared" si="104"/>
        <v/>
      </c>
      <c r="K99" s="91" t="str">
        <f t="shared" si="104"/>
        <v/>
      </c>
      <c r="L99" s="144" t="str">
        <f t="shared" si="104"/>
        <v/>
      </c>
      <c r="M99" s="118" t="str">
        <f t="shared" si="104"/>
        <v/>
      </c>
      <c r="N99" s="91" t="str">
        <f t="shared" si="104"/>
        <v>●</v>
      </c>
      <c r="O99" s="144" t="str">
        <f t="shared" si="104"/>
        <v>●</v>
      </c>
      <c r="P99" s="144" t="str">
        <f t="shared" si="104"/>
        <v>●</v>
      </c>
      <c r="Q99" s="144" t="str">
        <f t="shared" si="104"/>
        <v/>
      </c>
      <c r="R99" s="144" t="str">
        <f t="shared" si="104"/>
        <v/>
      </c>
      <c r="S99" s="144" t="str">
        <f t="shared" si="104"/>
        <v/>
      </c>
      <c r="T99" s="144" t="str">
        <f t="shared" si="104"/>
        <v/>
      </c>
      <c r="U99" s="144" t="str">
        <f t="shared" si="104"/>
        <v/>
      </c>
      <c r="V99" s="144" t="str">
        <f t="shared" si="104"/>
        <v/>
      </c>
      <c r="W99" s="96">
        <f>IF(MIN(W100:W106)=0,"",MIN(W100:W102))</f>
        <v>45180</v>
      </c>
      <c r="X99" s="97">
        <f ca="1">IF(AND(W99="",Y99="")=TRUE,"",IF(AND(W99&gt;0,Y99="")=TRUE,NETWORKDAYS(W99,TODAY(),Holidays),NETWORKDAYS(W99,Y99,Holidays)))</f>
        <v>15</v>
      </c>
      <c r="Y99" s="139">
        <f>IF(MAX(Y100:Y106)=0,"",MAX(Y100:Y106))</f>
        <v>45203</v>
      </c>
      <c r="Z99" s="96" t="str">
        <f>IF(MIN(Z100:Z106)=0,"",MIN(Z100:Z106))</f>
        <v/>
      </c>
      <c r="AA99" s="97" t="str">
        <f t="shared" ca="1" si="101"/>
        <v/>
      </c>
      <c r="AB99" s="98" t="str">
        <f>IF(MAX(AB100:AB106)=0,"",MAX(AB100:AB106))</f>
        <v/>
      </c>
      <c r="AC99" s="99">
        <f>IFERROR(AVERAGE(AC100,AC103),"")</f>
        <v>0</v>
      </c>
      <c r="AD99" s="100" t="str">
        <f t="shared" si="102"/>
        <v>Open</v>
      </c>
      <c r="AE99" s="101"/>
      <c r="AF99" s="80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81"/>
      <c r="CK99" s="81"/>
      <c r="CL99" s="81"/>
      <c r="CM99" s="81"/>
      <c r="CN99" s="81"/>
      <c r="CO99" s="81"/>
      <c r="CP99" s="81"/>
      <c r="CQ99" s="81"/>
      <c r="CR99" s="81"/>
      <c r="CS99" s="81"/>
      <c r="CT99" s="81"/>
      <c r="CU99" s="81"/>
      <c r="CV99" s="81"/>
      <c r="CW99" s="81"/>
      <c r="CX99" s="81"/>
      <c r="CY99" s="81"/>
      <c r="CZ99" s="81"/>
      <c r="DA99" s="81"/>
      <c r="DB99" s="81"/>
      <c r="DC99" s="81"/>
      <c r="DD99" s="81"/>
      <c r="DE99" s="81"/>
      <c r="DF99" s="81"/>
      <c r="DG99" s="81"/>
      <c r="DH99" s="81"/>
      <c r="DI99" s="81"/>
      <c r="DJ99" s="81"/>
      <c r="DK99" s="81"/>
      <c r="DL99" s="81"/>
      <c r="DM99" s="81"/>
      <c r="DN99" s="81"/>
      <c r="DO99" s="81"/>
      <c r="DP99" s="81"/>
      <c r="DQ99" s="81"/>
      <c r="DR99" s="81"/>
      <c r="DS99" s="81"/>
      <c r="DT99" s="81"/>
      <c r="DU99" s="81"/>
      <c r="DV99" s="81"/>
      <c r="DW99" s="81"/>
      <c r="DX99" s="81"/>
      <c r="DY99" s="81"/>
      <c r="DZ99" s="81"/>
      <c r="EA99" s="81"/>
      <c r="EB99" s="81"/>
    </row>
    <row r="100" spans="2:132" ht="17.100000000000001" customHeight="1">
      <c r="B100" s="92">
        <v>3</v>
      </c>
      <c r="C100" s="92" t="s">
        <v>655</v>
      </c>
      <c r="D100" s="93"/>
      <c r="E100" s="94"/>
      <c r="F100" s="94" t="s">
        <v>916</v>
      </c>
      <c r="G100" s="94"/>
      <c r="H100" s="95"/>
      <c r="I100" s="118" t="str">
        <f t="shared" ref="I100:V100" si="105">IF(COUNTIF(I101:I102,"●")&gt;0,"●","")</f>
        <v/>
      </c>
      <c r="J100" s="91" t="str">
        <f t="shared" si="105"/>
        <v/>
      </c>
      <c r="K100" s="91" t="str">
        <f t="shared" si="105"/>
        <v/>
      </c>
      <c r="L100" s="144" t="str">
        <f t="shared" si="105"/>
        <v/>
      </c>
      <c r="M100" s="118" t="str">
        <f t="shared" si="105"/>
        <v/>
      </c>
      <c r="N100" s="91" t="str">
        <f t="shared" si="105"/>
        <v>●</v>
      </c>
      <c r="O100" s="144" t="str">
        <f t="shared" si="105"/>
        <v>●</v>
      </c>
      <c r="P100" s="144" t="str">
        <f t="shared" si="105"/>
        <v>●</v>
      </c>
      <c r="Q100" s="144" t="str">
        <f t="shared" si="105"/>
        <v/>
      </c>
      <c r="R100" s="144" t="str">
        <f t="shared" si="105"/>
        <v/>
      </c>
      <c r="S100" s="144" t="str">
        <f t="shared" si="105"/>
        <v/>
      </c>
      <c r="T100" s="144" t="str">
        <f t="shared" si="105"/>
        <v/>
      </c>
      <c r="U100" s="144" t="str">
        <f t="shared" si="105"/>
        <v/>
      </c>
      <c r="V100" s="144" t="str">
        <f t="shared" si="105"/>
        <v/>
      </c>
      <c r="W100" s="96">
        <f>IF(MIN(W101:W102)=0,"",MIN(W101:W102))</f>
        <v>45180</v>
      </c>
      <c r="X100" s="97">
        <f ca="1">IF(AND(W100="",Y100="")=TRUE,"",IF(AND(W100&gt;0,Y100="")=TRUE,NETWORKDAYS(W100,TODAY(),Holidays),NETWORKDAYS(W100,Y100,Holidays)))</f>
        <v>3</v>
      </c>
      <c r="Y100" s="138">
        <f>IF(MAX(Y101:Y102)=0,"",MAX(Y101:Y102))</f>
        <v>45182</v>
      </c>
      <c r="Z100" s="96" t="str">
        <f>IF(MIN(Z101:Z102)=0,"",MIN(Z101:Z102))</f>
        <v/>
      </c>
      <c r="AA100" s="97" t="str">
        <f t="shared" ca="1" si="101"/>
        <v/>
      </c>
      <c r="AB100" s="98" t="str">
        <f>IF(MAX(AB101:AB102)=0,"",MAX(AB101:AB102))</f>
        <v/>
      </c>
      <c r="AC100" s="99">
        <f>IFERROR(AVERAGE(AC101:AC102),"")</f>
        <v>0</v>
      </c>
      <c r="AD100" s="100" t="str">
        <f t="shared" si="102"/>
        <v>Open</v>
      </c>
      <c r="AE100" s="101"/>
      <c r="AF100" s="80"/>
      <c r="AG100" s="81"/>
      <c r="AH100" s="81"/>
      <c r="AI100" s="81"/>
      <c r="AJ100" s="81"/>
      <c r="AK100" s="81"/>
      <c r="AL100" s="81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  <c r="BA100" s="81"/>
      <c r="BB100" s="81"/>
      <c r="BC100" s="81"/>
      <c r="BD100" s="81"/>
      <c r="BE100" s="81"/>
      <c r="BF100" s="81"/>
      <c r="BG100" s="81"/>
      <c r="BH100" s="81"/>
      <c r="BI100" s="81"/>
      <c r="BJ100" s="81"/>
      <c r="BK100" s="81"/>
      <c r="BL100" s="81"/>
      <c r="BM100" s="81"/>
      <c r="BN100" s="81"/>
      <c r="BO100" s="81"/>
      <c r="BP100" s="81"/>
      <c r="BQ100" s="81"/>
      <c r="BR100" s="81"/>
      <c r="BS100" s="81"/>
      <c r="BT100" s="81"/>
      <c r="BU100" s="81"/>
      <c r="BV100" s="81"/>
      <c r="BW100" s="81"/>
      <c r="BX100" s="81"/>
      <c r="BY100" s="81"/>
      <c r="BZ100" s="81"/>
      <c r="CA100" s="81"/>
      <c r="CB100" s="81"/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  <c r="CM100" s="81"/>
      <c r="CN100" s="81"/>
      <c r="CO100" s="81"/>
      <c r="CP100" s="81"/>
      <c r="CQ100" s="81"/>
      <c r="CR100" s="81"/>
      <c r="CS100" s="81"/>
      <c r="CT100" s="81"/>
      <c r="CU100" s="81"/>
      <c r="CV100" s="81"/>
      <c r="CW100" s="81"/>
      <c r="CX100" s="81"/>
      <c r="CY100" s="81"/>
      <c r="CZ100" s="81"/>
      <c r="DA100" s="81"/>
      <c r="DB100" s="81"/>
      <c r="DC100" s="81"/>
      <c r="DD100" s="81"/>
      <c r="DE100" s="81"/>
      <c r="DF100" s="81"/>
      <c r="DG100" s="81"/>
      <c r="DH100" s="81"/>
      <c r="DI100" s="81"/>
      <c r="DJ100" s="81"/>
      <c r="DK100" s="81"/>
      <c r="DL100" s="81"/>
      <c r="DM100" s="81"/>
      <c r="DN100" s="81"/>
      <c r="DO100" s="81"/>
      <c r="DP100" s="81"/>
      <c r="DQ100" s="81"/>
      <c r="DR100" s="81"/>
      <c r="DS100" s="81"/>
      <c r="DT100" s="81"/>
      <c r="DU100" s="81"/>
      <c r="DV100" s="81"/>
      <c r="DW100" s="81"/>
      <c r="DX100" s="81"/>
      <c r="DY100" s="81"/>
      <c r="DZ100" s="81"/>
      <c r="EA100" s="81"/>
      <c r="EB100" s="81"/>
    </row>
    <row r="101" spans="2:132" ht="17.100000000000001" customHeight="1">
      <c r="B101" s="58">
        <v>4</v>
      </c>
      <c r="C101" s="58" t="s">
        <v>658</v>
      </c>
      <c r="D101" s="59"/>
      <c r="E101" s="60"/>
      <c r="F101" s="60"/>
      <c r="G101" s="60" t="s">
        <v>917</v>
      </c>
      <c r="H101" s="62"/>
      <c r="I101" s="123"/>
      <c r="J101" s="61"/>
      <c r="K101" s="61"/>
      <c r="L101" s="145"/>
      <c r="M101" s="145"/>
      <c r="N101" s="145" t="s">
        <v>836</v>
      </c>
      <c r="O101" s="145" t="s">
        <v>836</v>
      </c>
      <c r="P101" s="145" t="s">
        <v>836</v>
      </c>
      <c r="Q101" s="61"/>
      <c r="R101" s="61"/>
      <c r="S101" s="61"/>
      <c r="T101" s="61"/>
      <c r="U101" s="61"/>
      <c r="V101" s="63"/>
      <c r="W101" s="64">
        <v>45180</v>
      </c>
      <c r="X101" s="61">
        <v>3</v>
      </c>
      <c r="Y101" s="140">
        <f t="shared" ref="Y101:Y102" si="106">IF(AND(W101="",X101="")=TRUE,"",WORKDAY(W101,X101-1,Holidays))</f>
        <v>45182</v>
      </c>
      <c r="Z101" s="64"/>
      <c r="AA101" s="126" t="str">
        <f t="shared" ca="1" si="101"/>
        <v/>
      </c>
      <c r="AB101" s="65"/>
      <c r="AC101" s="66">
        <v>0</v>
      </c>
      <c r="AD101" s="125" t="str">
        <f t="shared" si="102"/>
        <v>Open</v>
      </c>
      <c r="AE101" s="150"/>
      <c r="AF101" s="80"/>
      <c r="AG101" s="81"/>
      <c r="AH101" s="81"/>
      <c r="AI101" s="81"/>
      <c r="AJ101" s="81"/>
      <c r="AK101" s="81"/>
      <c r="AL101" s="81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  <c r="BA101" s="81"/>
      <c r="BB101" s="81"/>
      <c r="BC101" s="81"/>
      <c r="BD101" s="81"/>
      <c r="BE101" s="81"/>
      <c r="BF101" s="81"/>
      <c r="BG101" s="81"/>
      <c r="BH101" s="81"/>
      <c r="BI101" s="81"/>
      <c r="BJ101" s="81"/>
      <c r="BK101" s="81"/>
      <c r="BL101" s="81"/>
      <c r="BM101" s="81"/>
      <c r="BN101" s="81"/>
      <c r="BO101" s="81"/>
      <c r="BP101" s="81"/>
      <c r="BQ101" s="81"/>
      <c r="BR101" s="81"/>
      <c r="BS101" s="81"/>
      <c r="BT101" s="81"/>
      <c r="BU101" s="81"/>
      <c r="BV101" s="81"/>
      <c r="BW101" s="81"/>
      <c r="BX101" s="81"/>
      <c r="BY101" s="81"/>
      <c r="BZ101" s="81"/>
      <c r="CA101" s="81"/>
      <c r="CB101" s="81"/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  <c r="CM101" s="81"/>
      <c r="CN101" s="81"/>
      <c r="CO101" s="81"/>
      <c r="CP101" s="81"/>
      <c r="CQ101" s="81"/>
      <c r="CR101" s="81"/>
      <c r="CS101" s="81"/>
      <c r="CT101" s="81"/>
      <c r="CU101" s="81"/>
      <c r="CV101" s="81"/>
      <c r="CW101" s="81"/>
      <c r="CX101" s="81"/>
      <c r="CY101" s="81"/>
      <c r="CZ101" s="81"/>
      <c r="DA101" s="81"/>
      <c r="DB101" s="81"/>
      <c r="DC101" s="81"/>
      <c r="DD101" s="81"/>
      <c r="DE101" s="81"/>
      <c r="DF101" s="81"/>
      <c r="DG101" s="81"/>
      <c r="DH101" s="81"/>
      <c r="DI101" s="81"/>
      <c r="DJ101" s="81"/>
      <c r="DK101" s="81"/>
      <c r="DL101" s="81"/>
      <c r="DM101" s="81"/>
      <c r="DN101" s="81"/>
      <c r="DO101" s="81"/>
      <c r="DP101" s="81"/>
      <c r="DQ101" s="81"/>
      <c r="DR101" s="81"/>
      <c r="DS101" s="81"/>
      <c r="DT101" s="81"/>
      <c r="DU101" s="81"/>
      <c r="DV101" s="81"/>
      <c r="DW101" s="81"/>
      <c r="DX101" s="81"/>
      <c r="DY101" s="81"/>
      <c r="DZ101" s="81"/>
      <c r="EA101" s="81"/>
      <c r="EB101" s="81"/>
    </row>
    <row r="102" spans="2:132" ht="17.100000000000001" customHeight="1">
      <c r="B102" s="58">
        <v>4</v>
      </c>
      <c r="C102" s="58" t="s">
        <v>658</v>
      </c>
      <c r="D102" s="59"/>
      <c r="E102" s="60"/>
      <c r="F102" s="60"/>
      <c r="G102" s="60" t="s">
        <v>918</v>
      </c>
      <c r="H102" s="62"/>
      <c r="I102" s="123"/>
      <c r="J102" s="61"/>
      <c r="K102" s="61"/>
      <c r="L102" s="145"/>
      <c r="M102" s="145"/>
      <c r="N102" s="145" t="s">
        <v>836</v>
      </c>
      <c r="O102" s="145" t="s">
        <v>836</v>
      </c>
      <c r="P102" s="145" t="s">
        <v>836</v>
      </c>
      <c r="Q102" s="61"/>
      <c r="R102" s="61"/>
      <c r="S102" s="61"/>
      <c r="T102" s="61"/>
      <c r="U102" s="61"/>
      <c r="V102" s="63"/>
      <c r="W102" s="64">
        <v>45180</v>
      </c>
      <c r="X102" s="61">
        <v>3</v>
      </c>
      <c r="Y102" s="140">
        <f t="shared" si="106"/>
        <v>45182</v>
      </c>
      <c r="Z102" s="64"/>
      <c r="AA102" s="126"/>
      <c r="AB102" s="65"/>
      <c r="AC102" s="66">
        <v>0</v>
      </c>
      <c r="AD102" s="125" t="str">
        <f t="shared" si="102"/>
        <v>Open</v>
      </c>
      <c r="AE102" s="150"/>
      <c r="AF102" s="80"/>
      <c r="AG102" s="81"/>
      <c r="AH102" s="81"/>
      <c r="AI102" s="81"/>
      <c r="AJ102" s="81"/>
      <c r="AK102" s="81"/>
      <c r="AL102" s="81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  <c r="BA102" s="81"/>
      <c r="BB102" s="81"/>
      <c r="BC102" s="81"/>
      <c r="BD102" s="81"/>
      <c r="BE102" s="81"/>
      <c r="BF102" s="81"/>
      <c r="BG102" s="81"/>
      <c r="BH102" s="81"/>
      <c r="BI102" s="81"/>
      <c r="BJ102" s="81"/>
      <c r="BK102" s="81"/>
      <c r="BL102" s="81"/>
      <c r="BM102" s="81"/>
      <c r="BN102" s="81"/>
      <c r="BO102" s="81"/>
      <c r="BP102" s="81"/>
      <c r="BQ102" s="81"/>
      <c r="BR102" s="81"/>
      <c r="BS102" s="81"/>
      <c r="BT102" s="81"/>
      <c r="BU102" s="81"/>
      <c r="BV102" s="81"/>
      <c r="BW102" s="81"/>
      <c r="BX102" s="81"/>
      <c r="BY102" s="81"/>
      <c r="BZ102" s="81"/>
      <c r="CA102" s="81"/>
      <c r="CB102" s="81"/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  <c r="CM102" s="81"/>
      <c r="CN102" s="81"/>
      <c r="CO102" s="81"/>
      <c r="CP102" s="81"/>
      <c r="CQ102" s="81"/>
      <c r="CR102" s="81"/>
      <c r="CS102" s="81"/>
      <c r="CT102" s="81"/>
      <c r="CU102" s="81"/>
      <c r="CV102" s="81"/>
      <c r="CW102" s="81"/>
      <c r="CX102" s="81"/>
      <c r="CY102" s="81"/>
      <c r="CZ102" s="81"/>
      <c r="DA102" s="81"/>
      <c r="DB102" s="81"/>
      <c r="DC102" s="81"/>
      <c r="DD102" s="81"/>
      <c r="DE102" s="81"/>
      <c r="DF102" s="81"/>
      <c r="DG102" s="81"/>
      <c r="DH102" s="81"/>
      <c r="DI102" s="81"/>
      <c r="DJ102" s="81"/>
      <c r="DK102" s="81"/>
      <c r="DL102" s="81"/>
      <c r="DM102" s="81"/>
      <c r="DN102" s="81"/>
      <c r="DO102" s="81"/>
      <c r="DP102" s="81"/>
      <c r="DQ102" s="81"/>
      <c r="DR102" s="81"/>
      <c r="DS102" s="81"/>
      <c r="DT102" s="81"/>
      <c r="DU102" s="81"/>
      <c r="DV102" s="81"/>
      <c r="DW102" s="81"/>
      <c r="DX102" s="81"/>
      <c r="DY102" s="81"/>
      <c r="DZ102" s="81"/>
      <c r="EA102" s="81"/>
      <c r="EB102" s="81"/>
    </row>
    <row r="103" spans="2:132" ht="17.100000000000001" customHeight="1">
      <c r="B103" s="92">
        <v>3</v>
      </c>
      <c r="C103" s="92" t="s">
        <v>655</v>
      </c>
      <c r="D103" s="93"/>
      <c r="E103" s="94"/>
      <c r="F103" s="94" t="s">
        <v>919</v>
      </c>
      <c r="G103" s="94"/>
      <c r="H103" s="95"/>
      <c r="I103" s="118" t="str">
        <f>IF(COUNTIF(I104:I106,"●")&gt;0,"●","")</f>
        <v/>
      </c>
      <c r="J103" s="91" t="str">
        <f t="shared" ref="J103:L103" si="107">IF(COUNTIF(J104:J106,"●")&gt;0,"●","")</f>
        <v/>
      </c>
      <c r="K103" s="91" t="str">
        <f t="shared" ref="K103" si="108">IF(COUNTIF(K104:K106,"●")&gt;0,"●","")</f>
        <v/>
      </c>
      <c r="L103" s="144" t="str">
        <f t="shared" si="107"/>
        <v/>
      </c>
      <c r="M103" s="118" t="str">
        <f>IF(COUNTIF(M104:M106,"●")&gt;0,"●","")</f>
        <v/>
      </c>
      <c r="N103" s="91" t="str">
        <f t="shared" ref="N103" si="109">IF(COUNTIF(N104:N106,"●")&gt;0,"●","")</f>
        <v>●</v>
      </c>
      <c r="O103" s="144" t="str">
        <f t="shared" ref="O103:V103" si="110">IF(COUNTIF(O104:O106,"●")&gt;0,"●","")</f>
        <v/>
      </c>
      <c r="P103" s="144" t="str">
        <f t="shared" si="110"/>
        <v>●</v>
      </c>
      <c r="Q103" s="144" t="str">
        <f t="shared" si="110"/>
        <v/>
      </c>
      <c r="R103" s="144" t="str">
        <f t="shared" si="110"/>
        <v/>
      </c>
      <c r="S103" s="144" t="str">
        <f t="shared" si="110"/>
        <v/>
      </c>
      <c r="T103" s="144" t="str">
        <f t="shared" si="110"/>
        <v/>
      </c>
      <c r="U103" s="144" t="str">
        <f t="shared" si="110"/>
        <v/>
      </c>
      <c r="V103" s="144" t="str">
        <f t="shared" si="110"/>
        <v/>
      </c>
      <c r="W103" s="96">
        <f>IF(MIN(W104:W106)=0,"",MIN(W104:W106))</f>
        <v>45183</v>
      </c>
      <c r="X103" s="97">
        <f ca="1">IF(AND(W103="",Y103="")=TRUE,"",IF(AND(W103&gt;0,Y103="")=TRUE,NETWORKDAYS(W103,TODAY(),Holidays),NETWORKDAYS(W103,Y103,Holidays)))</f>
        <v>12</v>
      </c>
      <c r="Y103" s="138">
        <f>IF(MAX(Y104:Y106)=0,"",MAX(Y104:Y106))</f>
        <v>45203</v>
      </c>
      <c r="Z103" s="96" t="str">
        <f>IF(MIN(Z104:Z106)=0,"",MIN(Z104:Z106))</f>
        <v/>
      </c>
      <c r="AA103" s="97" t="str">
        <f t="shared" ref="AA103:AA104" ca="1" si="111">IF(AND(Z103="",AB103="")=TRUE,"",IF(AND(Z103&gt;0,AB103="")=TRUE,NETWORKDAYS(Z103,TODAY(),Holidays),NETWORKDAYS(Z103,AB103,Holidays)))</f>
        <v/>
      </c>
      <c r="AB103" s="98" t="str">
        <f>IF(MAX(AB104:AB106)=0,"",MAX(AB104:AB106))</f>
        <v/>
      </c>
      <c r="AC103" s="99">
        <f>IFERROR(AVERAGE(AC104:AC106),"")</f>
        <v>0</v>
      </c>
      <c r="AD103" s="100" t="str">
        <f t="shared" si="102"/>
        <v>Open</v>
      </c>
      <c r="AE103" s="101"/>
      <c r="AF103" s="80"/>
      <c r="AG103" s="81"/>
      <c r="AH103" s="81"/>
      <c r="AI103" s="81"/>
      <c r="AJ103" s="81"/>
      <c r="AK103" s="81"/>
      <c r="AL103" s="81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  <c r="BA103" s="81"/>
      <c r="BB103" s="81"/>
      <c r="BC103" s="81"/>
      <c r="BD103" s="81"/>
      <c r="BE103" s="81"/>
      <c r="BF103" s="81"/>
      <c r="BG103" s="81"/>
      <c r="BH103" s="81"/>
      <c r="BI103" s="81"/>
      <c r="BJ103" s="81"/>
      <c r="BK103" s="81"/>
      <c r="BL103" s="81"/>
      <c r="BM103" s="81"/>
      <c r="BN103" s="81"/>
      <c r="BO103" s="81"/>
      <c r="BP103" s="81"/>
      <c r="BQ103" s="81"/>
      <c r="BR103" s="81"/>
      <c r="BS103" s="81"/>
      <c r="BT103" s="81"/>
      <c r="BU103" s="81"/>
      <c r="BV103" s="81"/>
      <c r="BW103" s="81"/>
      <c r="BX103" s="81"/>
      <c r="BY103" s="81"/>
      <c r="BZ103" s="81"/>
      <c r="CA103" s="81"/>
      <c r="CB103" s="81"/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  <c r="CM103" s="81"/>
      <c r="CN103" s="81"/>
      <c r="CO103" s="81"/>
      <c r="CP103" s="81"/>
      <c r="CQ103" s="81"/>
      <c r="CR103" s="81"/>
      <c r="CS103" s="81"/>
      <c r="CT103" s="81"/>
      <c r="CU103" s="81"/>
      <c r="CV103" s="81"/>
      <c r="CW103" s="81"/>
      <c r="CX103" s="81"/>
      <c r="CY103" s="81"/>
      <c r="CZ103" s="81"/>
      <c r="DA103" s="81"/>
      <c r="DB103" s="81"/>
      <c r="DC103" s="81"/>
      <c r="DD103" s="81"/>
      <c r="DE103" s="81"/>
      <c r="DF103" s="81"/>
      <c r="DG103" s="81"/>
      <c r="DH103" s="81"/>
      <c r="DI103" s="81"/>
      <c r="DJ103" s="81"/>
      <c r="DK103" s="81"/>
      <c r="DL103" s="81"/>
      <c r="DM103" s="81"/>
      <c r="DN103" s="81"/>
      <c r="DO103" s="81"/>
      <c r="DP103" s="81"/>
      <c r="DQ103" s="81"/>
      <c r="DR103" s="81"/>
      <c r="DS103" s="81"/>
      <c r="DT103" s="81"/>
      <c r="DU103" s="81"/>
      <c r="DV103" s="81"/>
      <c r="DW103" s="81"/>
      <c r="DX103" s="81"/>
      <c r="DY103" s="81"/>
      <c r="DZ103" s="81"/>
      <c r="EA103" s="81"/>
      <c r="EB103" s="81"/>
    </row>
    <row r="104" spans="2:132" ht="17.100000000000001" customHeight="1">
      <c r="B104" s="58">
        <v>4</v>
      </c>
      <c r="C104" s="58" t="s">
        <v>658</v>
      </c>
      <c r="D104" s="59"/>
      <c r="E104" s="60"/>
      <c r="F104" s="60"/>
      <c r="G104" s="60" t="s">
        <v>920</v>
      </c>
      <c r="H104" s="62"/>
      <c r="I104" s="123"/>
      <c r="J104" s="61"/>
      <c r="K104" s="61"/>
      <c r="L104" s="145"/>
      <c r="M104" s="145"/>
      <c r="N104" s="145" t="s">
        <v>836</v>
      </c>
      <c r="O104" s="145"/>
      <c r="P104" s="145" t="s">
        <v>836</v>
      </c>
      <c r="Q104" s="61"/>
      <c r="R104" s="61"/>
      <c r="S104" s="61"/>
      <c r="T104" s="61"/>
      <c r="U104" s="61"/>
      <c r="V104" s="63"/>
      <c r="W104" s="64">
        <v>45183</v>
      </c>
      <c r="X104" s="61">
        <v>5</v>
      </c>
      <c r="Y104" s="140">
        <f t="shared" ref="Y104:Y105" si="112">IF(AND(W104="",X104="")=TRUE,"",WORKDAY(W104,X104-1,Holidays))</f>
        <v>45189</v>
      </c>
      <c r="Z104" s="64"/>
      <c r="AA104" s="126" t="str">
        <f t="shared" ca="1" si="111"/>
        <v/>
      </c>
      <c r="AB104" s="65"/>
      <c r="AC104" s="66">
        <v>0</v>
      </c>
      <c r="AD104" s="125" t="str">
        <f t="shared" si="102"/>
        <v>Open</v>
      </c>
      <c r="AE104" s="150"/>
      <c r="AF104" s="80"/>
      <c r="AG104" s="81"/>
      <c r="AH104" s="81"/>
      <c r="AI104" s="81"/>
      <c r="AJ104" s="81"/>
      <c r="AK104" s="81"/>
      <c r="AL104" s="81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  <c r="BA104" s="81"/>
      <c r="BB104" s="81"/>
      <c r="BC104" s="81"/>
      <c r="BD104" s="81"/>
      <c r="BE104" s="81"/>
      <c r="BF104" s="81"/>
      <c r="BG104" s="81"/>
      <c r="BH104" s="81"/>
      <c r="BI104" s="81"/>
      <c r="BJ104" s="81"/>
      <c r="BK104" s="81"/>
      <c r="BL104" s="81"/>
      <c r="BM104" s="81"/>
      <c r="BN104" s="81"/>
      <c r="BO104" s="81"/>
      <c r="BP104" s="81"/>
      <c r="BQ104" s="81"/>
      <c r="BR104" s="81"/>
      <c r="BS104" s="81"/>
      <c r="BT104" s="81"/>
      <c r="BU104" s="81"/>
      <c r="BV104" s="81"/>
      <c r="BW104" s="81"/>
      <c r="BX104" s="81"/>
      <c r="BY104" s="81"/>
      <c r="BZ104" s="81"/>
      <c r="CA104" s="81"/>
      <c r="CB104" s="81"/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  <c r="CM104" s="81"/>
      <c r="CN104" s="81"/>
      <c r="CO104" s="81"/>
      <c r="CP104" s="81"/>
      <c r="CQ104" s="81"/>
      <c r="CR104" s="81"/>
      <c r="CS104" s="81"/>
      <c r="CT104" s="81"/>
      <c r="CU104" s="81"/>
      <c r="CV104" s="81"/>
      <c r="CW104" s="81"/>
      <c r="CX104" s="81"/>
      <c r="CY104" s="81"/>
      <c r="CZ104" s="81"/>
      <c r="DA104" s="81"/>
      <c r="DB104" s="81"/>
      <c r="DC104" s="81"/>
      <c r="DD104" s="81"/>
      <c r="DE104" s="81"/>
      <c r="DF104" s="81"/>
      <c r="DG104" s="81"/>
      <c r="DH104" s="81"/>
      <c r="DI104" s="81"/>
      <c r="DJ104" s="81"/>
      <c r="DK104" s="81"/>
      <c r="DL104" s="81"/>
      <c r="DM104" s="81"/>
      <c r="DN104" s="81"/>
      <c r="DO104" s="81"/>
      <c r="DP104" s="81"/>
      <c r="DQ104" s="81"/>
      <c r="DR104" s="81"/>
      <c r="DS104" s="81"/>
      <c r="DT104" s="81"/>
      <c r="DU104" s="81"/>
      <c r="DV104" s="81"/>
      <c r="DW104" s="81"/>
      <c r="DX104" s="81"/>
      <c r="DY104" s="81"/>
      <c r="DZ104" s="81"/>
      <c r="EA104" s="81"/>
      <c r="EB104" s="81"/>
    </row>
    <row r="105" spans="2:132" ht="17.100000000000001" customHeight="1">
      <c r="B105" s="58">
        <v>4</v>
      </c>
      <c r="C105" s="58" t="s">
        <v>658</v>
      </c>
      <c r="D105" s="59"/>
      <c r="E105" s="60"/>
      <c r="F105" s="60"/>
      <c r="G105" s="60" t="s">
        <v>921</v>
      </c>
      <c r="H105" s="62"/>
      <c r="I105" s="123"/>
      <c r="J105" s="61"/>
      <c r="K105" s="61"/>
      <c r="L105" s="145"/>
      <c r="M105" s="145"/>
      <c r="N105" s="145" t="s">
        <v>836</v>
      </c>
      <c r="O105" s="145"/>
      <c r="P105" s="145" t="s">
        <v>836</v>
      </c>
      <c r="Q105" s="61"/>
      <c r="R105" s="61"/>
      <c r="S105" s="61"/>
      <c r="T105" s="61"/>
      <c r="U105" s="61"/>
      <c r="V105" s="63"/>
      <c r="W105" s="64">
        <v>45190</v>
      </c>
      <c r="X105" s="61">
        <v>5</v>
      </c>
      <c r="Y105" s="140">
        <f t="shared" si="112"/>
        <v>45196</v>
      </c>
      <c r="Z105" s="64"/>
      <c r="AA105" s="126"/>
      <c r="AB105" s="65"/>
      <c r="AC105" s="66">
        <v>0</v>
      </c>
      <c r="AD105" s="125" t="str">
        <f t="shared" si="102"/>
        <v>Open</v>
      </c>
      <c r="AE105" s="150"/>
      <c r="AF105" s="80"/>
      <c r="AG105" s="81"/>
      <c r="AH105" s="81"/>
      <c r="AI105" s="81"/>
      <c r="AJ105" s="81"/>
      <c r="AK105" s="81"/>
      <c r="AL105" s="81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  <c r="BA105" s="81"/>
      <c r="BB105" s="81"/>
      <c r="BC105" s="81"/>
      <c r="BD105" s="81"/>
      <c r="BE105" s="81"/>
      <c r="BF105" s="81"/>
      <c r="BG105" s="81"/>
      <c r="BH105" s="81"/>
      <c r="BI105" s="81"/>
      <c r="BJ105" s="81"/>
      <c r="BK105" s="81"/>
      <c r="BL105" s="81"/>
      <c r="BM105" s="81"/>
      <c r="BN105" s="81"/>
      <c r="BO105" s="81"/>
      <c r="BP105" s="81"/>
      <c r="BQ105" s="81"/>
      <c r="BR105" s="81"/>
      <c r="BS105" s="81"/>
      <c r="BT105" s="81"/>
      <c r="BU105" s="81"/>
      <c r="BV105" s="81"/>
      <c r="BW105" s="81"/>
      <c r="BX105" s="81"/>
      <c r="BY105" s="81"/>
      <c r="BZ105" s="81"/>
      <c r="CA105" s="81"/>
      <c r="CB105" s="81"/>
      <c r="CC105" s="81"/>
      <c r="CD105" s="81"/>
      <c r="CE105" s="81"/>
      <c r="CF105" s="81"/>
      <c r="CG105" s="81"/>
      <c r="CH105" s="81"/>
      <c r="CI105" s="81"/>
      <c r="CJ105" s="81"/>
      <c r="CK105" s="81"/>
      <c r="CL105" s="81"/>
      <c r="CM105" s="81"/>
      <c r="CN105" s="81"/>
      <c r="CO105" s="81"/>
      <c r="CP105" s="81"/>
      <c r="CQ105" s="81"/>
      <c r="CR105" s="81"/>
      <c r="CS105" s="81"/>
      <c r="CT105" s="81"/>
      <c r="CU105" s="81"/>
      <c r="CV105" s="81"/>
      <c r="CW105" s="81"/>
      <c r="CX105" s="81"/>
      <c r="CY105" s="81"/>
      <c r="CZ105" s="81"/>
      <c r="DA105" s="81"/>
      <c r="DB105" s="81"/>
      <c r="DC105" s="81"/>
      <c r="DD105" s="81"/>
      <c r="DE105" s="81"/>
      <c r="DF105" s="81"/>
      <c r="DG105" s="81"/>
      <c r="DH105" s="81"/>
      <c r="DI105" s="81"/>
      <c r="DJ105" s="81"/>
      <c r="DK105" s="81"/>
      <c r="DL105" s="81"/>
      <c r="DM105" s="81"/>
      <c r="DN105" s="81"/>
      <c r="DO105" s="81"/>
      <c r="DP105" s="81"/>
      <c r="DQ105" s="81"/>
      <c r="DR105" s="81"/>
      <c r="DS105" s="81"/>
      <c r="DT105" s="81"/>
      <c r="DU105" s="81"/>
      <c r="DV105" s="81"/>
      <c r="DW105" s="81"/>
      <c r="DX105" s="81"/>
      <c r="DY105" s="81"/>
      <c r="DZ105" s="81"/>
      <c r="EA105" s="81"/>
      <c r="EB105" s="81"/>
    </row>
    <row r="106" spans="2:132" ht="17.100000000000001" customHeight="1">
      <c r="B106" s="58">
        <v>4</v>
      </c>
      <c r="C106" s="58" t="s">
        <v>658</v>
      </c>
      <c r="D106" s="59"/>
      <c r="E106" s="60"/>
      <c r="F106" s="60"/>
      <c r="G106" s="60" t="s">
        <v>922</v>
      </c>
      <c r="H106" s="62"/>
      <c r="I106" s="123"/>
      <c r="J106" s="61"/>
      <c r="K106" s="61"/>
      <c r="L106" s="145"/>
      <c r="M106" s="145"/>
      <c r="N106" s="145" t="s">
        <v>836</v>
      </c>
      <c r="O106" s="145"/>
      <c r="P106" s="145" t="s">
        <v>836</v>
      </c>
      <c r="Q106" s="61"/>
      <c r="R106" s="61"/>
      <c r="S106" s="61"/>
      <c r="T106" s="61"/>
      <c r="U106" s="61"/>
      <c r="V106" s="63"/>
      <c r="W106" s="64">
        <v>45201</v>
      </c>
      <c r="X106" s="61">
        <v>2</v>
      </c>
      <c r="Y106" s="140">
        <f t="shared" ref="Y106" si="113">IF(AND(W106="",X106="")=TRUE,"",WORKDAY(W106,X106-1,Holidays))</f>
        <v>45203</v>
      </c>
      <c r="Z106" s="64"/>
      <c r="AA106" s="126" t="str">
        <f t="shared" ref="AA106:AA109" ca="1" si="114">IF(AND(Z106="",AB106="")=TRUE,"",IF(AND(Z106&gt;0,AB106="")=TRUE,NETWORKDAYS(Z106,TODAY(),Holidays),NETWORKDAYS(Z106,AB106,Holidays)))</f>
        <v/>
      </c>
      <c r="AB106" s="65"/>
      <c r="AC106" s="66">
        <v>0</v>
      </c>
      <c r="AD106" s="125" t="str">
        <f t="shared" ref="AD106:AD125" si="115">IF(AC106=100%,"Completed",IF(AND(AC106&lt;100%,AC106&gt;0%)=TRUE,"In-Progress","Open"))</f>
        <v>Open</v>
      </c>
      <c r="AE106" s="150"/>
      <c r="AF106" s="80"/>
      <c r="AG106" s="81"/>
      <c r="AH106" s="81"/>
      <c r="AI106" s="81"/>
      <c r="AJ106" s="81"/>
      <c r="AK106" s="81"/>
      <c r="AL106" s="81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  <c r="BA106" s="81"/>
      <c r="BB106" s="81"/>
      <c r="BC106" s="81"/>
      <c r="BD106" s="81"/>
      <c r="BE106" s="81"/>
      <c r="BF106" s="81"/>
      <c r="BG106" s="81"/>
      <c r="BH106" s="81"/>
      <c r="BI106" s="81"/>
      <c r="BJ106" s="81"/>
      <c r="BK106" s="81"/>
      <c r="BL106" s="81"/>
      <c r="BM106" s="81"/>
      <c r="BN106" s="81"/>
      <c r="BO106" s="81"/>
      <c r="BP106" s="81"/>
      <c r="BQ106" s="81"/>
      <c r="BR106" s="81"/>
      <c r="BS106" s="81"/>
      <c r="BT106" s="81"/>
      <c r="BU106" s="81"/>
      <c r="BV106" s="81"/>
      <c r="BW106" s="81"/>
      <c r="BX106" s="81"/>
      <c r="BY106" s="81"/>
      <c r="BZ106" s="81"/>
      <c r="CA106" s="81"/>
      <c r="CB106" s="81"/>
      <c r="CC106" s="81"/>
      <c r="CD106" s="81"/>
      <c r="CE106" s="81"/>
      <c r="CF106" s="81"/>
      <c r="CG106" s="81"/>
      <c r="CH106" s="81"/>
      <c r="CI106" s="81"/>
      <c r="CJ106" s="81"/>
      <c r="CK106" s="81"/>
      <c r="CL106" s="81"/>
      <c r="CM106" s="81"/>
      <c r="CN106" s="81"/>
      <c r="CO106" s="81"/>
      <c r="CP106" s="81"/>
      <c r="CQ106" s="81"/>
      <c r="CR106" s="81"/>
      <c r="CS106" s="81"/>
      <c r="CT106" s="81"/>
      <c r="CU106" s="81"/>
      <c r="CV106" s="81"/>
      <c r="CW106" s="81"/>
      <c r="CX106" s="81"/>
      <c r="CY106" s="81"/>
      <c r="CZ106" s="81"/>
      <c r="DA106" s="81"/>
      <c r="DB106" s="81"/>
      <c r="DC106" s="81"/>
      <c r="DD106" s="81"/>
      <c r="DE106" s="81"/>
      <c r="DF106" s="81"/>
      <c r="DG106" s="81"/>
      <c r="DH106" s="81"/>
      <c r="DI106" s="81"/>
      <c r="DJ106" s="81"/>
      <c r="DK106" s="81"/>
      <c r="DL106" s="81"/>
      <c r="DM106" s="81"/>
      <c r="DN106" s="81"/>
      <c r="DO106" s="81"/>
      <c r="DP106" s="81"/>
      <c r="DQ106" s="81"/>
      <c r="DR106" s="81"/>
      <c r="DS106" s="81"/>
      <c r="DT106" s="81"/>
      <c r="DU106" s="81"/>
      <c r="DV106" s="81"/>
      <c r="DW106" s="81"/>
      <c r="DX106" s="81"/>
      <c r="DY106" s="81"/>
      <c r="DZ106" s="81"/>
      <c r="EA106" s="81"/>
      <c r="EB106" s="81"/>
    </row>
    <row r="107" spans="2:132" ht="17.100000000000001" customHeight="1">
      <c r="B107" s="92">
        <v>2</v>
      </c>
      <c r="C107" s="92" t="s">
        <v>655</v>
      </c>
      <c r="D107" s="93"/>
      <c r="E107" s="94" t="s">
        <v>923</v>
      </c>
      <c r="F107" s="94"/>
      <c r="G107" s="94"/>
      <c r="H107" s="95"/>
      <c r="I107" s="118" t="str">
        <f t="shared" ref="I107:V107" si="116">IF(COUNTIF(I108:I114,"●")&gt;0,"●","")</f>
        <v/>
      </c>
      <c r="J107" s="91" t="str">
        <f t="shared" si="116"/>
        <v/>
      </c>
      <c r="K107" s="91" t="str">
        <f t="shared" si="116"/>
        <v/>
      </c>
      <c r="L107" s="144" t="str">
        <f t="shared" si="116"/>
        <v/>
      </c>
      <c r="M107" s="118" t="str">
        <f t="shared" si="116"/>
        <v/>
      </c>
      <c r="N107" s="91" t="str">
        <f t="shared" si="116"/>
        <v>●</v>
      </c>
      <c r="O107" s="144" t="str">
        <f t="shared" si="116"/>
        <v>●</v>
      </c>
      <c r="P107" s="144" t="str">
        <f t="shared" si="116"/>
        <v/>
      </c>
      <c r="Q107" s="144" t="str">
        <f t="shared" si="116"/>
        <v/>
      </c>
      <c r="R107" s="144" t="str">
        <f t="shared" si="116"/>
        <v/>
      </c>
      <c r="S107" s="144" t="str">
        <f t="shared" si="116"/>
        <v/>
      </c>
      <c r="T107" s="144" t="str">
        <f t="shared" si="116"/>
        <v/>
      </c>
      <c r="U107" s="144" t="str">
        <f t="shared" si="116"/>
        <v/>
      </c>
      <c r="V107" s="144" t="str">
        <f t="shared" si="116"/>
        <v/>
      </c>
      <c r="W107" s="96">
        <f>IF(MIN(W108:W114)=0,"",MIN(W108:W114))</f>
        <v>45210</v>
      </c>
      <c r="X107" s="97">
        <f ca="1">IF(AND(W107="",Y107="")=TRUE,"",IF(AND(W107&gt;0,Y107="")=TRUE,NETWORKDAYS(W107,TODAY(),Holidays),NETWORKDAYS(W107,Y107,Holidays)))</f>
        <v>18</v>
      </c>
      <c r="Y107" s="139">
        <f>IF(MAX(Y108:Y114)=0,"",MAX(Y108:Y114))</f>
        <v>45233</v>
      </c>
      <c r="Z107" s="96" t="str">
        <f>IF(MIN(Z108:Z114)=0,"",MIN(Z108:Z114))</f>
        <v/>
      </c>
      <c r="AA107" s="97" t="str">
        <f t="shared" ca="1" si="114"/>
        <v/>
      </c>
      <c r="AB107" s="98" t="str">
        <f>IF(MAX(AB108:AB114)=0,"",MAX(AB108:AB114))</f>
        <v/>
      </c>
      <c r="AC107" s="99">
        <f>IFERROR(AVERAGE(AC108),"")</f>
        <v>0</v>
      </c>
      <c r="AD107" s="100" t="str">
        <f t="shared" si="115"/>
        <v>Open</v>
      </c>
      <c r="AE107" s="101"/>
      <c r="AF107" s="80"/>
      <c r="AG107" s="81"/>
      <c r="AH107" s="81"/>
      <c r="AI107" s="81"/>
      <c r="AJ107" s="81"/>
      <c r="AK107" s="81"/>
      <c r="AL107" s="81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  <c r="BA107" s="81"/>
      <c r="BB107" s="81"/>
      <c r="BC107" s="81"/>
      <c r="BD107" s="81"/>
      <c r="BE107" s="81"/>
      <c r="BF107" s="81"/>
      <c r="BG107" s="81"/>
      <c r="BH107" s="81"/>
      <c r="BI107" s="81"/>
      <c r="BJ107" s="81"/>
      <c r="BK107" s="81"/>
      <c r="BL107" s="81"/>
      <c r="BM107" s="81"/>
      <c r="BN107" s="81"/>
      <c r="BO107" s="81"/>
      <c r="BP107" s="81"/>
      <c r="BQ107" s="81"/>
      <c r="BR107" s="81"/>
      <c r="BS107" s="81"/>
      <c r="BT107" s="81"/>
      <c r="BU107" s="81"/>
      <c r="BV107" s="81"/>
      <c r="BW107" s="81"/>
      <c r="BX107" s="81"/>
      <c r="BY107" s="81"/>
      <c r="BZ107" s="81"/>
      <c r="CA107" s="81"/>
      <c r="CB107" s="81"/>
      <c r="CC107" s="81"/>
      <c r="CD107" s="81"/>
      <c r="CE107" s="81"/>
      <c r="CF107" s="81"/>
      <c r="CG107" s="81"/>
      <c r="CH107" s="81"/>
      <c r="CI107" s="81"/>
      <c r="CJ107" s="81"/>
      <c r="CK107" s="81"/>
      <c r="CL107" s="81"/>
      <c r="CM107" s="81"/>
      <c r="CN107" s="81"/>
      <c r="CO107" s="81"/>
      <c r="CP107" s="81"/>
      <c r="CQ107" s="81"/>
      <c r="CR107" s="81"/>
      <c r="CS107" s="81"/>
      <c r="CT107" s="81"/>
      <c r="CU107" s="81"/>
      <c r="CV107" s="81"/>
      <c r="CW107" s="81"/>
      <c r="CX107" s="81"/>
      <c r="CY107" s="81"/>
      <c r="CZ107" s="81"/>
      <c r="DA107" s="81"/>
      <c r="DB107" s="81"/>
      <c r="DC107" s="81"/>
      <c r="DD107" s="81"/>
      <c r="DE107" s="81"/>
      <c r="DF107" s="81"/>
      <c r="DG107" s="81"/>
      <c r="DH107" s="81"/>
      <c r="DI107" s="81"/>
      <c r="DJ107" s="81"/>
      <c r="DK107" s="81"/>
      <c r="DL107" s="81"/>
      <c r="DM107" s="81"/>
      <c r="DN107" s="81"/>
      <c r="DO107" s="81"/>
      <c r="DP107" s="81"/>
      <c r="DQ107" s="81"/>
      <c r="DR107" s="81"/>
      <c r="DS107" s="81"/>
      <c r="DT107" s="81"/>
      <c r="DU107" s="81"/>
      <c r="DV107" s="81"/>
      <c r="DW107" s="81"/>
      <c r="DX107" s="81"/>
      <c r="DY107" s="81"/>
      <c r="DZ107" s="81"/>
      <c r="EA107" s="81"/>
      <c r="EB107" s="81"/>
    </row>
    <row r="108" spans="2:132" ht="17.100000000000001" customHeight="1">
      <c r="B108" s="92">
        <v>3</v>
      </c>
      <c r="C108" s="92" t="s">
        <v>655</v>
      </c>
      <c r="D108" s="93"/>
      <c r="E108" s="94"/>
      <c r="F108" s="94" t="s">
        <v>924</v>
      </c>
      <c r="G108" s="94"/>
      <c r="H108" s="95"/>
      <c r="I108" s="118" t="str">
        <f t="shared" ref="I108:V108" si="117">IF(COUNTIF(I109:I114,"●")&gt;0,"●","")</f>
        <v/>
      </c>
      <c r="J108" s="91" t="str">
        <f t="shared" si="117"/>
        <v/>
      </c>
      <c r="K108" s="91" t="str">
        <f t="shared" si="117"/>
        <v/>
      </c>
      <c r="L108" s="144" t="str">
        <f t="shared" si="117"/>
        <v/>
      </c>
      <c r="M108" s="118" t="str">
        <f t="shared" si="117"/>
        <v/>
      </c>
      <c r="N108" s="91" t="str">
        <f t="shared" si="117"/>
        <v>●</v>
      </c>
      <c r="O108" s="144" t="str">
        <f t="shared" si="117"/>
        <v>●</v>
      </c>
      <c r="P108" s="144" t="str">
        <f t="shared" si="117"/>
        <v/>
      </c>
      <c r="Q108" s="144" t="str">
        <f t="shared" si="117"/>
        <v/>
      </c>
      <c r="R108" s="144" t="str">
        <f t="shared" si="117"/>
        <v/>
      </c>
      <c r="S108" s="144" t="str">
        <f t="shared" si="117"/>
        <v/>
      </c>
      <c r="T108" s="144" t="str">
        <f t="shared" si="117"/>
        <v/>
      </c>
      <c r="U108" s="144" t="str">
        <f t="shared" si="117"/>
        <v/>
      </c>
      <c r="V108" s="144" t="str">
        <f t="shared" si="117"/>
        <v/>
      </c>
      <c r="W108" s="96">
        <f>IF(MIN(W109:W114)=0,"",MIN(W109:W114))</f>
        <v>45210</v>
      </c>
      <c r="X108" s="97">
        <f ca="1">IF(AND(W108="",Y108="")=TRUE,"",IF(AND(W108&gt;0,Y108="")=TRUE,NETWORKDAYS(W108,TODAY(),Holidays),NETWORKDAYS(W108,Y108,Holidays)))</f>
        <v>18</v>
      </c>
      <c r="Y108" s="138">
        <f>IF(MAX(Y109:Y114)=0,"",MAX(Y109:Y114))</f>
        <v>45233</v>
      </c>
      <c r="Z108" s="96" t="str">
        <f>IF(MIN(Z109:Z114)=0,"",MIN(Z109:Z114))</f>
        <v/>
      </c>
      <c r="AA108" s="97" t="str">
        <f t="shared" ca="1" si="114"/>
        <v/>
      </c>
      <c r="AB108" s="98" t="str">
        <f>IF(MAX(AB109:AB114)=0,"",MAX(AB109:AB114))</f>
        <v/>
      </c>
      <c r="AC108" s="99">
        <f>IFERROR(AVERAGE(AC109:AC114),"")</f>
        <v>0</v>
      </c>
      <c r="AD108" s="100" t="str">
        <f t="shared" si="115"/>
        <v>Open</v>
      </c>
      <c r="AE108" s="101"/>
      <c r="AF108" s="80"/>
      <c r="AG108" s="81"/>
      <c r="AH108" s="81"/>
      <c r="AI108" s="81"/>
      <c r="AJ108" s="81"/>
      <c r="AK108" s="81"/>
      <c r="AL108" s="81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  <c r="BA108" s="81"/>
      <c r="BB108" s="81"/>
      <c r="BC108" s="81"/>
      <c r="BD108" s="81"/>
      <c r="BE108" s="81"/>
      <c r="BF108" s="81"/>
      <c r="BG108" s="81"/>
      <c r="BH108" s="81"/>
      <c r="BI108" s="81"/>
      <c r="BJ108" s="81"/>
      <c r="BK108" s="81"/>
      <c r="BL108" s="81"/>
      <c r="BM108" s="81"/>
      <c r="BN108" s="81"/>
      <c r="BO108" s="81"/>
      <c r="BP108" s="81"/>
      <c r="BQ108" s="81"/>
      <c r="BR108" s="81"/>
      <c r="BS108" s="81"/>
      <c r="BT108" s="81"/>
      <c r="BU108" s="81"/>
      <c r="BV108" s="81"/>
      <c r="BW108" s="81"/>
      <c r="BX108" s="81"/>
      <c r="BY108" s="81"/>
      <c r="BZ108" s="81"/>
      <c r="CA108" s="81"/>
      <c r="CB108" s="81"/>
      <c r="CC108" s="81"/>
      <c r="CD108" s="81"/>
      <c r="CE108" s="81"/>
      <c r="CF108" s="81"/>
      <c r="CG108" s="81"/>
      <c r="CH108" s="81"/>
      <c r="CI108" s="81"/>
      <c r="CJ108" s="81"/>
      <c r="CK108" s="81"/>
      <c r="CL108" s="81"/>
      <c r="CM108" s="81"/>
      <c r="CN108" s="81"/>
      <c r="CO108" s="81"/>
      <c r="CP108" s="81"/>
      <c r="CQ108" s="81"/>
      <c r="CR108" s="81"/>
      <c r="CS108" s="81"/>
      <c r="CT108" s="81"/>
      <c r="CU108" s="81"/>
      <c r="CV108" s="81"/>
      <c r="CW108" s="81"/>
      <c r="CX108" s="81"/>
      <c r="CY108" s="81"/>
      <c r="CZ108" s="81"/>
      <c r="DA108" s="81"/>
      <c r="DB108" s="81"/>
      <c r="DC108" s="81"/>
      <c r="DD108" s="81"/>
      <c r="DE108" s="81"/>
      <c r="DF108" s="81"/>
      <c r="DG108" s="81"/>
      <c r="DH108" s="81"/>
      <c r="DI108" s="81"/>
      <c r="DJ108" s="81"/>
      <c r="DK108" s="81"/>
      <c r="DL108" s="81"/>
      <c r="DM108" s="81"/>
      <c r="DN108" s="81"/>
      <c r="DO108" s="81"/>
      <c r="DP108" s="81"/>
      <c r="DQ108" s="81"/>
      <c r="DR108" s="81"/>
      <c r="DS108" s="81"/>
      <c r="DT108" s="81"/>
      <c r="DU108" s="81"/>
      <c r="DV108" s="81"/>
      <c r="DW108" s="81"/>
      <c r="DX108" s="81"/>
      <c r="DY108" s="81"/>
      <c r="DZ108" s="81"/>
      <c r="EA108" s="81"/>
      <c r="EB108" s="81"/>
    </row>
    <row r="109" spans="2:132" ht="17.100000000000001" customHeight="1">
      <c r="B109" s="58">
        <v>4</v>
      </c>
      <c r="C109" s="58" t="s">
        <v>658</v>
      </c>
      <c r="D109" s="59"/>
      <c r="E109" s="60"/>
      <c r="F109" s="60"/>
      <c r="G109" s="60" t="s">
        <v>925</v>
      </c>
      <c r="H109" s="62"/>
      <c r="I109" s="123"/>
      <c r="J109" s="61"/>
      <c r="K109" s="61"/>
      <c r="L109" s="145"/>
      <c r="M109" s="123"/>
      <c r="N109" s="145" t="s">
        <v>836</v>
      </c>
      <c r="O109" s="145"/>
      <c r="P109" s="61"/>
      <c r="Q109" s="61"/>
      <c r="R109" s="61"/>
      <c r="S109" s="61"/>
      <c r="T109" s="61"/>
      <c r="U109" s="61"/>
      <c r="V109" s="63"/>
      <c r="W109" s="64">
        <v>45210</v>
      </c>
      <c r="X109" s="61">
        <v>3</v>
      </c>
      <c r="Y109" s="140">
        <f t="shared" ref="Y109:Y114" si="118">IF(AND(W109="",X109="")=TRUE,"",WORKDAY(W109,X109-1,Holidays))</f>
        <v>45212</v>
      </c>
      <c r="Z109" s="64"/>
      <c r="AA109" s="126" t="str">
        <f t="shared" ca="1" si="114"/>
        <v/>
      </c>
      <c r="AB109" s="65"/>
      <c r="AC109" s="66">
        <v>0</v>
      </c>
      <c r="AD109" s="125" t="str">
        <f t="shared" si="115"/>
        <v>Open</v>
      </c>
      <c r="AE109" s="150"/>
      <c r="AF109" s="80"/>
      <c r="AG109" s="81"/>
      <c r="AH109" s="81"/>
      <c r="AI109" s="81"/>
      <c r="AJ109" s="81"/>
      <c r="AK109" s="81"/>
      <c r="AL109" s="81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  <c r="BA109" s="81"/>
      <c r="BB109" s="81"/>
      <c r="BC109" s="81"/>
      <c r="BD109" s="81"/>
      <c r="BE109" s="81"/>
      <c r="BF109" s="81"/>
      <c r="BG109" s="81"/>
      <c r="BH109" s="81"/>
      <c r="BI109" s="81"/>
      <c r="BJ109" s="81"/>
      <c r="BK109" s="81"/>
      <c r="BL109" s="81"/>
      <c r="BM109" s="81"/>
      <c r="BN109" s="81"/>
      <c r="BO109" s="81"/>
      <c r="BP109" s="81"/>
      <c r="BQ109" s="81"/>
      <c r="BR109" s="81"/>
      <c r="BS109" s="81"/>
      <c r="BT109" s="81"/>
      <c r="BU109" s="81"/>
      <c r="BV109" s="81"/>
      <c r="BW109" s="81"/>
      <c r="BX109" s="81"/>
      <c r="BY109" s="81"/>
      <c r="BZ109" s="81"/>
      <c r="CA109" s="81"/>
      <c r="CB109" s="81"/>
      <c r="CC109" s="81"/>
      <c r="CD109" s="81"/>
      <c r="CE109" s="81"/>
      <c r="CF109" s="81"/>
      <c r="CG109" s="81"/>
      <c r="CH109" s="81"/>
      <c r="CI109" s="81"/>
      <c r="CJ109" s="81"/>
      <c r="CK109" s="81"/>
      <c r="CL109" s="81"/>
      <c r="CM109" s="81"/>
      <c r="CN109" s="81"/>
      <c r="CO109" s="81"/>
      <c r="CP109" s="81"/>
      <c r="CQ109" s="81"/>
      <c r="CR109" s="81"/>
      <c r="CS109" s="81"/>
      <c r="CT109" s="81"/>
      <c r="CU109" s="81"/>
      <c r="CV109" s="81"/>
      <c r="CW109" s="81"/>
      <c r="CX109" s="81"/>
      <c r="CY109" s="81"/>
      <c r="CZ109" s="81"/>
      <c r="DA109" s="81"/>
      <c r="DB109" s="81"/>
      <c r="DC109" s="81"/>
      <c r="DD109" s="81"/>
      <c r="DE109" s="81"/>
      <c r="DF109" s="81"/>
      <c r="DG109" s="81"/>
      <c r="DH109" s="81"/>
      <c r="DI109" s="81"/>
      <c r="DJ109" s="81"/>
      <c r="DK109" s="81"/>
      <c r="DL109" s="81"/>
      <c r="DM109" s="81"/>
      <c r="DN109" s="81"/>
      <c r="DO109" s="81"/>
      <c r="DP109" s="81"/>
      <c r="DQ109" s="81"/>
      <c r="DR109" s="81"/>
      <c r="DS109" s="81"/>
      <c r="DT109" s="81"/>
      <c r="DU109" s="81"/>
      <c r="DV109" s="81"/>
      <c r="DW109" s="81"/>
      <c r="DX109" s="81"/>
      <c r="DY109" s="81"/>
      <c r="DZ109" s="81"/>
      <c r="EA109" s="81"/>
      <c r="EB109" s="81"/>
    </row>
    <row r="110" spans="2:132" ht="17.100000000000001" customHeight="1">
      <c r="B110" s="58">
        <v>4</v>
      </c>
      <c r="C110" s="58" t="s">
        <v>658</v>
      </c>
      <c r="D110" s="59"/>
      <c r="E110" s="60"/>
      <c r="F110" s="60"/>
      <c r="G110" s="60" t="s">
        <v>926</v>
      </c>
      <c r="H110" s="62"/>
      <c r="I110" s="123"/>
      <c r="J110" s="61"/>
      <c r="K110" s="61"/>
      <c r="L110" s="145"/>
      <c r="M110" s="123"/>
      <c r="N110" s="145" t="s">
        <v>836</v>
      </c>
      <c r="O110" s="145"/>
      <c r="P110" s="61"/>
      <c r="Q110" s="61"/>
      <c r="R110" s="61"/>
      <c r="S110" s="61"/>
      <c r="T110" s="61"/>
      <c r="U110" s="61"/>
      <c r="V110" s="63"/>
      <c r="W110" s="64">
        <v>45215</v>
      </c>
      <c r="X110" s="61">
        <v>3</v>
      </c>
      <c r="Y110" s="140">
        <f t="shared" si="118"/>
        <v>45217</v>
      </c>
      <c r="Z110" s="64"/>
      <c r="AA110" s="126"/>
      <c r="AB110" s="65"/>
      <c r="AC110" s="66">
        <v>0</v>
      </c>
      <c r="AD110" s="125" t="str">
        <f t="shared" si="115"/>
        <v>Open</v>
      </c>
      <c r="AE110" s="150"/>
      <c r="AF110" s="80"/>
      <c r="AG110" s="81"/>
      <c r="AH110" s="81"/>
      <c r="AI110" s="81"/>
      <c r="AJ110" s="81"/>
      <c r="AK110" s="81"/>
      <c r="AL110" s="81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  <c r="BA110" s="81"/>
      <c r="BB110" s="81"/>
      <c r="BC110" s="81"/>
      <c r="BD110" s="81"/>
      <c r="BE110" s="81"/>
      <c r="BF110" s="81"/>
      <c r="BG110" s="81"/>
      <c r="BH110" s="81"/>
      <c r="BI110" s="81"/>
      <c r="BJ110" s="81"/>
      <c r="BK110" s="81"/>
      <c r="BL110" s="81"/>
      <c r="BM110" s="81"/>
      <c r="BN110" s="81"/>
      <c r="BO110" s="81"/>
      <c r="BP110" s="81"/>
      <c r="BQ110" s="81"/>
      <c r="BR110" s="81"/>
      <c r="BS110" s="81"/>
      <c r="BT110" s="81"/>
      <c r="BU110" s="81"/>
      <c r="BV110" s="81"/>
      <c r="BW110" s="81"/>
      <c r="BX110" s="81"/>
      <c r="BY110" s="81"/>
      <c r="BZ110" s="81"/>
      <c r="CA110" s="81"/>
      <c r="CB110" s="81"/>
      <c r="CC110" s="81"/>
      <c r="CD110" s="81"/>
      <c r="CE110" s="81"/>
      <c r="CF110" s="81"/>
      <c r="CG110" s="81"/>
      <c r="CH110" s="81"/>
      <c r="CI110" s="81"/>
      <c r="CJ110" s="81"/>
      <c r="CK110" s="81"/>
      <c r="CL110" s="81"/>
      <c r="CM110" s="81"/>
      <c r="CN110" s="81"/>
      <c r="CO110" s="81"/>
      <c r="CP110" s="81"/>
      <c r="CQ110" s="81"/>
      <c r="CR110" s="81"/>
      <c r="CS110" s="81"/>
      <c r="CT110" s="81"/>
      <c r="CU110" s="81"/>
      <c r="CV110" s="81"/>
      <c r="CW110" s="81"/>
      <c r="CX110" s="81"/>
      <c r="CY110" s="81"/>
      <c r="CZ110" s="81"/>
      <c r="DA110" s="81"/>
      <c r="DB110" s="81"/>
      <c r="DC110" s="81"/>
      <c r="DD110" s="81"/>
      <c r="DE110" s="81"/>
      <c r="DF110" s="81"/>
      <c r="DG110" s="81"/>
      <c r="DH110" s="81"/>
      <c r="DI110" s="81"/>
      <c r="DJ110" s="81"/>
      <c r="DK110" s="81"/>
      <c r="DL110" s="81"/>
      <c r="DM110" s="81"/>
      <c r="DN110" s="81"/>
      <c r="DO110" s="81"/>
      <c r="DP110" s="81"/>
      <c r="DQ110" s="81"/>
      <c r="DR110" s="81"/>
      <c r="DS110" s="81"/>
      <c r="DT110" s="81"/>
      <c r="DU110" s="81"/>
      <c r="DV110" s="81"/>
      <c r="DW110" s="81"/>
      <c r="DX110" s="81"/>
      <c r="DY110" s="81"/>
      <c r="DZ110" s="81"/>
      <c r="EA110" s="81"/>
      <c r="EB110" s="81"/>
    </row>
    <row r="111" spans="2:132" ht="17.100000000000001" customHeight="1">
      <c r="B111" s="58">
        <v>4</v>
      </c>
      <c r="C111" s="58" t="s">
        <v>658</v>
      </c>
      <c r="D111" s="59"/>
      <c r="E111" s="60"/>
      <c r="F111" s="60"/>
      <c r="G111" s="60" t="s">
        <v>927</v>
      </c>
      <c r="H111" s="62"/>
      <c r="I111" s="123"/>
      <c r="J111" s="61"/>
      <c r="K111" s="61"/>
      <c r="L111" s="145"/>
      <c r="M111" s="123"/>
      <c r="N111" s="145" t="s">
        <v>836</v>
      </c>
      <c r="O111" s="145"/>
      <c r="P111" s="61"/>
      <c r="Q111" s="61"/>
      <c r="R111" s="61"/>
      <c r="S111" s="61"/>
      <c r="T111" s="61"/>
      <c r="U111" s="61"/>
      <c r="V111" s="63"/>
      <c r="W111" s="64">
        <v>45218</v>
      </c>
      <c r="X111" s="61">
        <v>10</v>
      </c>
      <c r="Y111" s="140">
        <f t="shared" si="118"/>
        <v>45231</v>
      </c>
      <c r="Z111" s="64"/>
      <c r="AA111" s="126"/>
      <c r="AB111" s="65"/>
      <c r="AC111" s="66">
        <v>0</v>
      </c>
      <c r="AD111" s="125" t="str">
        <f t="shared" si="115"/>
        <v>Open</v>
      </c>
      <c r="AE111" s="150"/>
      <c r="AF111" s="80"/>
      <c r="AG111" s="81"/>
      <c r="AH111" s="81"/>
      <c r="AI111" s="81"/>
      <c r="AJ111" s="81"/>
      <c r="AK111" s="81"/>
      <c r="AL111" s="81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  <c r="BA111" s="81"/>
      <c r="BB111" s="81"/>
      <c r="BC111" s="81"/>
      <c r="BD111" s="81"/>
      <c r="BE111" s="81"/>
      <c r="BF111" s="81"/>
      <c r="BG111" s="81"/>
      <c r="BH111" s="81"/>
      <c r="BI111" s="81"/>
      <c r="BJ111" s="81"/>
      <c r="BK111" s="81"/>
      <c r="BL111" s="81"/>
      <c r="BM111" s="81"/>
      <c r="BN111" s="81"/>
      <c r="BO111" s="81"/>
      <c r="BP111" s="81"/>
      <c r="BQ111" s="81"/>
      <c r="BR111" s="81"/>
      <c r="BS111" s="81"/>
      <c r="BT111" s="81"/>
      <c r="BU111" s="81"/>
      <c r="BV111" s="81"/>
      <c r="BW111" s="81"/>
      <c r="BX111" s="81"/>
      <c r="BY111" s="81"/>
      <c r="BZ111" s="81"/>
      <c r="CA111" s="81"/>
      <c r="CB111" s="81"/>
      <c r="CC111" s="81"/>
      <c r="CD111" s="81"/>
      <c r="CE111" s="81"/>
      <c r="CF111" s="81"/>
      <c r="CG111" s="81"/>
      <c r="CH111" s="81"/>
      <c r="CI111" s="81"/>
      <c r="CJ111" s="81"/>
      <c r="CK111" s="81"/>
      <c r="CL111" s="81"/>
      <c r="CM111" s="81"/>
      <c r="CN111" s="81"/>
      <c r="CO111" s="81"/>
      <c r="CP111" s="81"/>
      <c r="CQ111" s="81"/>
      <c r="CR111" s="81"/>
      <c r="CS111" s="81"/>
      <c r="CT111" s="81"/>
      <c r="CU111" s="81"/>
      <c r="CV111" s="81"/>
      <c r="CW111" s="81"/>
      <c r="CX111" s="81"/>
      <c r="CY111" s="81"/>
      <c r="CZ111" s="81"/>
      <c r="DA111" s="81"/>
      <c r="DB111" s="81"/>
      <c r="DC111" s="81"/>
      <c r="DD111" s="81"/>
      <c r="DE111" s="81"/>
      <c r="DF111" s="81"/>
      <c r="DG111" s="81"/>
      <c r="DH111" s="81"/>
      <c r="DI111" s="81"/>
      <c r="DJ111" s="81"/>
      <c r="DK111" s="81"/>
      <c r="DL111" s="81"/>
      <c r="DM111" s="81"/>
      <c r="DN111" s="81"/>
      <c r="DO111" s="81"/>
      <c r="DP111" s="81"/>
      <c r="DQ111" s="81"/>
      <c r="DR111" s="81"/>
      <c r="DS111" s="81"/>
      <c r="DT111" s="81"/>
      <c r="DU111" s="81"/>
      <c r="DV111" s="81"/>
      <c r="DW111" s="81"/>
      <c r="DX111" s="81"/>
      <c r="DY111" s="81"/>
      <c r="DZ111" s="81"/>
      <c r="EA111" s="81"/>
      <c r="EB111" s="81"/>
    </row>
    <row r="112" spans="2:132" ht="17.100000000000001" customHeight="1">
      <c r="B112" s="58">
        <v>4</v>
      </c>
      <c r="C112" s="58" t="s">
        <v>658</v>
      </c>
      <c r="D112" s="59"/>
      <c r="E112" s="60"/>
      <c r="F112" s="60"/>
      <c r="G112" s="60" t="s">
        <v>928</v>
      </c>
      <c r="H112" s="62"/>
      <c r="I112" s="123"/>
      <c r="J112" s="61"/>
      <c r="K112" s="61"/>
      <c r="L112" s="145"/>
      <c r="M112" s="123"/>
      <c r="N112" s="145"/>
      <c r="O112" s="145" t="s">
        <v>836</v>
      </c>
      <c r="P112" s="61"/>
      <c r="Q112" s="61"/>
      <c r="R112" s="61"/>
      <c r="S112" s="61"/>
      <c r="T112" s="61"/>
      <c r="U112" s="61"/>
      <c r="V112" s="63"/>
      <c r="W112" s="64">
        <v>45210</v>
      </c>
      <c r="X112" s="61">
        <v>10</v>
      </c>
      <c r="Y112" s="140">
        <f t="shared" si="118"/>
        <v>45223</v>
      </c>
      <c r="Z112" s="64"/>
      <c r="AA112" s="126"/>
      <c r="AB112" s="65"/>
      <c r="AC112" s="66">
        <v>0</v>
      </c>
      <c r="AD112" s="125" t="str">
        <f t="shared" si="115"/>
        <v>Open</v>
      </c>
      <c r="AE112" s="150"/>
      <c r="AF112" s="80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81"/>
      <c r="CF112" s="81"/>
      <c r="CG112" s="81"/>
      <c r="CH112" s="81"/>
      <c r="CI112" s="81"/>
      <c r="CJ112" s="81"/>
      <c r="CK112" s="81"/>
      <c r="CL112" s="81"/>
      <c r="CM112" s="81"/>
      <c r="CN112" s="81"/>
      <c r="CO112" s="81"/>
      <c r="CP112" s="81"/>
      <c r="CQ112" s="81"/>
      <c r="CR112" s="81"/>
      <c r="CS112" s="81"/>
      <c r="CT112" s="81"/>
      <c r="CU112" s="81"/>
      <c r="CV112" s="81"/>
      <c r="CW112" s="81"/>
      <c r="CX112" s="81"/>
      <c r="CY112" s="81"/>
      <c r="CZ112" s="81"/>
      <c r="DA112" s="81"/>
      <c r="DB112" s="81"/>
      <c r="DC112" s="81"/>
      <c r="DD112" s="81"/>
      <c r="DE112" s="81"/>
      <c r="DF112" s="81"/>
      <c r="DG112" s="81"/>
      <c r="DH112" s="81"/>
      <c r="DI112" s="81"/>
      <c r="DJ112" s="81"/>
      <c r="DK112" s="81"/>
      <c r="DL112" s="81"/>
      <c r="DM112" s="81"/>
      <c r="DN112" s="81"/>
      <c r="DO112" s="81"/>
      <c r="DP112" s="81"/>
      <c r="DQ112" s="81"/>
      <c r="DR112" s="81"/>
      <c r="DS112" s="81"/>
      <c r="DT112" s="81"/>
      <c r="DU112" s="81"/>
      <c r="DV112" s="81"/>
      <c r="DW112" s="81"/>
      <c r="DX112" s="81"/>
      <c r="DY112" s="81"/>
      <c r="DZ112" s="81"/>
      <c r="EA112" s="81"/>
      <c r="EB112" s="81"/>
    </row>
    <row r="113" spans="2:132" ht="17.100000000000001" customHeight="1">
      <c r="B113" s="58">
        <v>4</v>
      </c>
      <c r="C113" s="58" t="s">
        <v>658</v>
      </c>
      <c r="D113" s="59"/>
      <c r="E113" s="60"/>
      <c r="F113" s="60"/>
      <c r="G113" s="60" t="s">
        <v>929</v>
      </c>
      <c r="H113" s="62"/>
      <c r="I113" s="123"/>
      <c r="J113" s="61"/>
      <c r="K113" s="61"/>
      <c r="L113" s="145"/>
      <c r="M113" s="123"/>
      <c r="N113" s="145" t="s">
        <v>836</v>
      </c>
      <c r="O113" s="145"/>
      <c r="P113" s="61"/>
      <c r="Q113" s="61"/>
      <c r="R113" s="61"/>
      <c r="S113" s="61"/>
      <c r="T113" s="61"/>
      <c r="U113" s="61"/>
      <c r="V113" s="63"/>
      <c r="W113" s="64">
        <v>45232</v>
      </c>
      <c r="X113" s="61">
        <v>2</v>
      </c>
      <c r="Y113" s="140">
        <f t="shared" si="118"/>
        <v>45233</v>
      </c>
      <c r="Z113" s="64"/>
      <c r="AA113" s="126"/>
      <c r="AB113" s="65"/>
      <c r="AC113" s="66">
        <v>0</v>
      </c>
      <c r="AD113" s="125" t="str">
        <f t="shared" si="115"/>
        <v>Open</v>
      </c>
      <c r="AE113" s="150"/>
      <c r="AF113" s="80"/>
      <c r="AG113" s="81"/>
      <c r="AH113" s="81"/>
      <c r="AI113" s="81"/>
      <c r="AJ113" s="81"/>
      <c r="AK113" s="81"/>
      <c r="AL113" s="81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  <c r="BA113" s="81"/>
      <c r="BB113" s="81"/>
      <c r="BC113" s="81"/>
      <c r="BD113" s="81"/>
      <c r="BE113" s="81"/>
      <c r="BF113" s="81"/>
      <c r="BG113" s="81"/>
      <c r="BH113" s="81"/>
      <c r="BI113" s="81"/>
      <c r="BJ113" s="81"/>
      <c r="BK113" s="81"/>
      <c r="BL113" s="81"/>
      <c r="BM113" s="81"/>
      <c r="BN113" s="81"/>
      <c r="BO113" s="81"/>
      <c r="BP113" s="81"/>
      <c r="BQ113" s="81"/>
      <c r="BR113" s="81"/>
      <c r="BS113" s="81"/>
      <c r="BT113" s="81"/>
      <c r="BU113" s="81"/>
      <c r="BV113" s="81"/>
      <c r="BW113" s="81"/>
      <c r="BX113" s="81"/>
      <c r="BY113" s="81"/>
      <c r="BZ113" s="81"/>
      <c r="CA113" s="81"/>
      <c r="CB113" s="81"/>
      <c r="CC113" s="81"/>
      <c r="CD113" s="81"/>
      <c r="CE113" s="81"/>
      <c r="CF113" s="81"/>
      <c r="CG113" s="81"/>
      <c r="CH113" s="81"/>
      <c r="CI113" s="81"/>
      <c r="CJ113" s="81"/>
      <c r="CK113" s="81"/>
      <c r="CL113" s="81"/>
      <c r="CM113" s="81"/>
      <c r="CN113" s="81"/>
      <c r="CO113" s="81"/>
      <c r="CP113" s="81"/>
      <c r="CQ113" s="81"/>
      <c r="CR113" s="81"/>
      <c r="CS113" s="81"/>
      <c r="CT113" s="81"/>
      <c r="CU113" s="81"/>
      <c r="CV113" s="81"/>
      <c r="CW113" s="81"/>
      <c r="CX113" s="81"/>
      <c r="CY113" s="81"/>
      <c r="CZ113" s="81"/>
      <c r="DA113" s="81"/>
      <c r="DB113" s="81"/>
      <c r="DC113" s="81"/>
      <c r="DD113" s="81"/>
      <c r="DE113" s="81"/>
      <c r="DF113" s="81"/>
      <c r="DG113" s="81"/>
      <c r="DH113" s="81"/>
      <c r="DI113" s="81"/>
      <c r="DJ113" s="81"/>
      <c r="DK113" s="81"/>
      <c r="DL113" s="81"/>
      <c r="DM113" s="81"/>
      <c r="DN113" s="81"/>
      <c r="DO113" s="81"/>
      <c r="DP113" s="81"/>
      <c r="DQ113" s="81"/>
      <c r="DR113" s="81"/>
      <c r="DS113" s="81"/>
      <c r="DT113" s="81"/>
      <c r="DU113" s="81"/>
      <c r="DV113" s="81"/>
      <c r="DW113" s="81"/>
      <c r="DX113" s="81"/>
      <c r="DY113" s="81"/>
      <c r="DZ113" s="81"/>
      <c r="EA113" s="81"/>
      <c r="EB113" s="81"/>
    </row>
    <row r="114" spans="2:132" ht="17.100000000000001" customHeight="1">
      <c r="B114" s="58">
        <v>4</v>
      </c>
      <c r="C114" s="58" t="s">
        <v>658</v>
      </c>
      <c r="D114" s="59"/>
      <c r="E114" s="60"/>
      <c r="F114" s="60"/>
      <c r="G114" s="60" t="s">
        <v>930</v>
      </c>
      <c r="H114" s="62"/>
      <c r="I114" s="123"/>
      <c r="J114" s="61"/>
      <c r="K114" s="61"/>
      <c r="L114" s="145"/>
      <c r="M114" s="123"/>
      <c r="N114" s="145"/>
      <c r="O114" s="145" t="s">
        <v>836</v>
      </c>
      <c r="P114" s="61"/>
      <c r="Q114" s="61"/>
      <c r="R114" s="61"/>
      <c r="S114" s="61"/>
      <c r="T114" s="61"/>
      <c r="U114" s="61"/>
      <c r="V114" s="63"/>
      <c r="W114" s="64">
        <v>45229</v>
      </c>
      <c r="X114" s="61">
        <v>2</v>
      </c>
      <c r="Y114" s="140">
        <f t="shared" si="118"/>
        <v>45230</v>
      </c>
      <c r="Z114" s="64"/>
      <c r="AA114" s="126"/>
      <c r="AB114" s="65"/>
      <c r="AC114" s="66">
        <v>0</v>
      </c>
      <c r="AD114" s="125" t="str">
        <f t="shared" si="115"/>
        <v>Open</v>
      </c>
      <c r="AE114" s="150"/>
      <c r="AF114" s="80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81"/>
      <c r="CF114" s="81"/>
      <c r="CG114" s="81"/>
      <c r="CH114" s="81"/>
      <c r="CI114" s="81"/>
      <c r="CJ114" s="81"/>
      <c r="CK114" s="81"/>
      <c r="CL114" s="81"/>
      <c r="CM114" s="81"/>
      <c r="CN114" s="81"/>
      <c r="CO114" s="81"/>
      <c r="CP114" s="81"/>
      <c r="CQ114" s="81"/>
      <c r="CR114" s="81"/>
      <c r="CS114" s="81"/>
      <c r="CT114" s="81"/>
      <c r="CU114" s="81"/>
      <c r="CV114" s="81"/>
      <c r="CW114" s="81"/>
      <c r="CX114" s="81"/>
      <c r="CY114" s="81"/>
      <c r="CZ114" s="81"/>
      <c r="DA114" s="81"/>
      <c r="DB114" s="81"/>
      <c r="DC114" s="81"/>
      <c r="DD114" s="81"/>
      <c r="DE114" s="81"/>
      <c r="DF114" s="81"/>
      <c r="DG114" s="81"/>
      <c r="DH114" s="81"/>
      <c r="DI114" s="81"/>
      <c r="DJ114" s="81"/>
      <c r="DK114" s="81"/>
      <c r="DL114" s="81"/>
      <c r="DM114" s="81"/>
      <c r="DN114" s="81"/>
      <c r="DO114" s="81"/>
      <c r="DP114" s="81"/>
      <c r="DQ114" s="81"/>
      <c r="DR114" s="81"/>
      <c r="DS114" s="81"/>
      <c r="DT114" s="81"/>
      <c r="DU114" s="81"/>
      <c r="DV114" s="81"/>
      <c r="DW114" s="81"/>
      <c r="DX114" s="81"/>
      <c r="DY114" s="81"/>
      <c r="DZ114" s="81"/>
      <c r="EA114" s="81"/>
      <c r="EB114" s="81"/>
    </row>
    <row r="115" spans="2:132" ht="17.100000000000001" customHeight="1">
      <c r="B115" s="92">
        <v>2</v>
      </c>
      <c r="C115" s="92" t="s">
        <v>655</v>
      </c>
      <c r="D115" s="93"/>
      <c r="E115" s="94" t="s">
        <v>931</v>
      </c>
      <c r="F115" s="94"/>
      <c r="G115" s="94"/>
      <c r="H115" s="95"/>
      <c r="I115" s="118" t="str">
        <f t="shared" ref="I115:V115" si="119">IF(COUNTIF(I116:I120,"●")&gt;0,"●","")</f>
        <v/>
      </c>
      <c r="J115" s="91" t="str">
        <f t="shared" si="119"/>
        <v/>
      </c>
      <c r="K115" s="91" t="str">
        <f t="shared" si="119"/>
        <v/>
      </c>
      <c r="L115" s="144" t="str">
        <f t="shared" si="119"/>
        <v/>
      </c>
      <c r="M115" s="118" t="str">
        <f t="shared" si="119"/>
        <v/>
      </c>
      <c r="N115" s="91" t="str">
        <f t="shared" si="119"/>
        <v>●</v>
      </c>
      <c r="O115" s="144" t="str">
        <f t="shared" si="119"/>
        <v>●</v>
      </c>
      <c r="P115" s="144" t="str">
        <f t="shared" si="119"/>
        <v/>
      </c>
      <c r="Q115" s="144" t="str">
        <f t="shared" si="119"/>
        <v/>
      </c>
      <c r="R115" s="144" t="str">
        <f t="shared" si="119"/>
        <v/>
      </c>
      <c r="S115" s="144" t="str">
        <f t="shared" si="119"/>
        <v/>
      </c>
      <c r="T115" s="144" t="str">
        <f t="shared" si="119"/>
        <v/>
      </c>
      <c r="U115" s="144" t="str">
        <f t="shared" si="119"/>
        <v/>
      </c>
      <c r="V115" s="144" t="str">
        <f t="shared" si="119"/>
        <v/>
      </c>
      <c r="W115" s="96">
        <f>IF(MIN(W116:W120)=0,"",MIN(W116:W120))</f>
        <v>45224</v>
      </c>
      <c r="X115" s="97">
        <f ca="1">IF(AND(W115="",Y115="")=TRUE,"",IF(AND(W115&gt;0,Y115="")=TRUE,NETWORKDAYS(W115,TODAY(),Holidays),NETWORKDAYS(W115,Y115,Holidays)))</f>
        <v>15</v>
      </c>
      <c r="Y115" s="139">
        <f>IF(MAX(Y116:Y120)=0,"",MAX(Y116:Y120))</f>
        <v>45244</v>
      </c>
      <c r="Z115" s="96" t="str">
        <f>IF(MIN(Z116:Z120)=0,"",MIN(Z116:Z120))</f>
        <v/>
      </c>
      <c r="AA115" s="97" t="str">
        <f t="shared" ref="AA115:AA117" ca="1" si="120">IF(AND(Z115="",AB115="")=TRUE,"",IF(AND(Z115&gt;0,AB115="")=TRUE,NETWORKDAYS(Z115,TODAY(),Holidays),NETWORKDAYS(Z115,AB115,Holidays)))</f>
        <v/>
      </c>
      <c r="AB115" s="98" t="str">
        <f>IF(MAX(AB116:AB120)=0,"",MAX(AB116:AB120))</f>
        <v/>
      </c>
      <c r="AC115" s="99">
        <f>IFERROR(AVERAGE(AC116),"")</f>
        <v>0</v>
      </c>
      <c r="AD115" s="100" t="str">
        <f t="shared" si="115"/>
        <v>Open</v>
      </c>
      <c r="AE115" s="101"/>
      <c r="AF115" s="80"/>
      <c r="AG115" s="81"/>
      <c r="AH115" s="81"/>
      <c r="AI115" s="81"/>
      <c r="AJ115" s="81"/>
      <c r="AK115" s="81"/>
      <c r="AL115" s="81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  <c r="BA115" s="81"/>
      <c r="BB115" s="81"/>
      <c r="BC115" s="81"/>
      <c r="BD115" s="81"/>
      <c r="BE115" s="81"/>
      <c r="BF115" s="81"/>
      <c r="BG115" s="81"/>
      <c r="BH115" s="81"/>
      <c r="BI115" s="81"/>
      <c r="BJ115" s="81"/>
      <c r="BK115" s="81"/>
      <c r="BL115" s="81"/>
      <c r="BM115" s="81"/>
      <c r="BN115" s="81"/>
      <c r="BO115" s="81"/>
      <c r="BP115" s="81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1"/>
      <c r="CI115" s="81"/>
      <c r="CJ115" s="81"/>
      <c r="CK115" s="81"/>
      <c r="CL115" s="81"/>
      <c r="CM115" s="81"/>
      <c r="CN115" s="81"/>
      <c r="CO115" s="81"/>
      <c r="CP115" s="81"/>
      <c r="CQ115" s="81"/>
      <c r="CR115" s="81"/>
      <c r="CS115" s="81"/>
      <c r="CT115" s="81"/>
      <c r="CU115" s="81"/>
      <c r="CV115" s="81"/>
      <c r="CW115" s="81"/>
      <c r="CX115" s="81"/>
      <c r="CY115" s="81"/>
      <c r="CZ115" s="81"/>
      <c r="DA115" s="81"/>
      <c r="DB115" s="81"/>
      <c r="DC115" s="81"/>
      <c r="DD115" s="81"/>
      <c r="DE115" s="81"/>
      <c r="DF115" s="81"/>
      <c r="DG115" s="81"/>
      <c r="DH115" s="81"/>
      <c r="DI115" s="81"/>
      <c r="DJ115" s="81"/>
      <c r="DK115" s="81"/>
      <c r="DL115" s="81"/>
      <c r="DM115" s="81"/>
      <c r="DN115" s="81"/>
      <c r="DO115" s="81"/>
      <c r="DP115" s="81"/>
      <c r="DQ115" s="81"/>
      <c r="DR115" s="81"/>
      <c r="DS115" s="81"/>
      <c r="DT115" s="81"/>
      <c r="DU115" s="81"/>
      <c r="DV115" s="81"/>
      <c r="DW115" s="81"/>
      <c r="DX115" s="81"/>
      <c r="DY115" s="81"/>
      <c r="DZ115" s="81"/>
      <c r="EA115" s="81"/>
      <c r="EB115" s="81"/>
    </row>
    <row r="116" spans="2:132" ht="17.100000000000001" customHeight="1">
      <c r="B116" s="92">
        <v>3</v>
      </c>
      <c r="C116" s="92" t="s">
        <v>655</v>
      </c>
      <c r="D116" s="93"/>
      <c r="E116" s="94"/>
      <c r="F116" s="94" t="s">
        <v>932</v>
      </c>
      <c r="G116" s="94"/>
      <c r="H116" s="95"/>
      <c r="I116" s="118" t="str">
        <f t="shared" ref="I116:V116" si="121">IF(COUNTIF(I117:I120,"●")&gt;0,"●","")</f>
        <v/>
      </c>
      <c r="J116" s="91" t="str">
        <f t="shared" si="121"/>
        <v/>
      </c>
      <c r="K116" s="91" t="str">
        <f t="shared" si="121"/>
        <v/>
      </c>
      <c r="L116" s="144" t="str">
        <f t="shared" si="121"/>
        <v/>
      </c>
      <c r="M116" s="118" t="str">
        <f t="shared" si="121"/>
        <v/>
      </c>
      <c r="N116" s="91" t="str">
        <f t="shared" si="121"/>
        <v>●</v>
      </c>
      <c r="O116" s="144" t="str">
        <f t="shared" si="121"/>
        <v>●</v>
      </c>
      <c r="P116" s="144" t="str">
        <f t="shared" si="121"/>
        <v/>
      </c>
      <c r="Q116" s="144" t="str">
        <f t="shared" si="121"/>
        <v/>
      </c>
      <c r="R116" s="144" t="str">
        <f t="shared" si="121"/>
        <v/>
      </c>
      <c r="S116" s="144" t="str">
        <f t="shared" si="121"/>
        <v/>
      </c>
      <c r="T116" s="144" t="str">
        <f t="shared" si="121"/>
        <v/>
      </c>
      <c r="U116" s="144" t="str">
        <f t="shared" si="121"/>
        <v/>
      </c>
      <c r="V116" s="144" t="str">
        <f t="shared" si="121"/>
        <v/>
      </c>
      <c r="W116" s="96">
        <f>IF(MIN(W117:W120)=0,"",MIN(W117:W120))</f>
        <v>45224</v>
      </c>
      <c r="X116" s="97">
        <f ca="1">IF(AND(W116="",Y116="")=TRUE,"",IF(AND(W116&gt;0,Y116="")=TRUE,NETWORKDAYS(W116,TODAY(),Holidays),NETWORKDAYS(W116,Y116,Holidays)))</f>
        <v>15</v>
      </c>
      <c r="Y116" s="138">
        <f>IF(MAX(Y117:Y120)=0,"",MAX(Y117:Y120))</f>
        <v>45244</v>
      </c>
      <c r="Z116" s="96" t="str">
        <f>IF(MIN(Z117:Z120)=0,"",MIN(Z117:Z120))</f>
        <v/>
      </c>
      <c r="AA116" s="97" t="str">
        <f t="shared" ca="1" si="120"/>
        <v/>
      </c>
      <c r="AB116" s="98" t="str">
        <f>IF(MAX(AB117:AB120)=0,"",MAX(AB117:AB120))</f>
        <v/>
      </c>
      <c r="AC116" s="99">
        <f>IFERROR(AVERAGE(AC117:AC120),"")</f>
        <v>0</v>
      </c>
      <c r="AD116" s="100" t="str">
        <f t="shared" si="115"/>
        <v>Open</v>
      </c>
      <c r="AE116" s="101"/>
      <c r="AF116" s="80"/>
      <c r="AG116" s="81"/>
      <c r="AH116" s="81"/>
      <c r="AI116" s="81"/>
      <c r="AJ116" s="81"/>
      <c r="AK116" s="81"/>
      <c r="AL116" s="81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  <c r="BA116" s="81"/>
      <c r="BB116" s="81"/>
      <c r="BC116" s="81"/>
      <c r="BD116" s="81"/>
      <c r="BE116" s="81"/>
      <c r="BF116" s="81"/>
      <c r="BG116" s="81"/>
      <c r="BH116" s="81"/>
      <c r="BI116" s="81"/>
      <c r="BJ116" s="81"/>
      <c r="BK116" s="81"/>
      <c r="BL116" s="81"/>
      <c r="BM116" s="81"/>
      <c r="BN116" s="81"/>
      <c r="BO116" s="81"/>
      <c r="BP116" s="81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1"/>
      <c r="CI116" s="81"/>
      <c r="CJ116" s="81"/>
      <c r="CK116" s="81"/>
      <c r="CL116" s="81"/>
      <c r="CM116" s="81"/>
      <c r="CN116" s="81"/>
      <c r="CO116" s="81"/>
      <c r="CP116" s="81"/>
      <c r="CQ116" s="81"/>
      <c r="CR116" s="81"/>
      <c r="CS116" s="81"/>
      <c r="CT116" s="81"/>
      <c r="CU116" s="81"/>
      <c r="CV116" s="81"/>
      <c r="CW116" s="81"/>
      <c r="CX116" s="81"/>
      <c r="CY116" s="81"/>
      <c r="CZ116" s="81"/>
      <c r="DA116" s="81"/>
      <c r="DB116" s="81"/>
      <c r="DC116" s="81"/>
      <c r="DD116" s="81"/>
      <c r="DE116" s="81"/>
      <c r="DF116" s="81"/>
      <c r="DG116" s="81"/>
      <c r="DH116" s="81"/>
      <c r="DI116" s="81"/>
      <c r="DJ116" s="81"/>
      <c r="DK116" s="81"/>
      <c r="DL116" s="81"/>
      <c r="DM116" s="81"/>
      <c r="DN116" s="81"/>
      <c r="DO116" s="81"/>
      <c r="DP116" s="81"/>
      <c r="DQ116" s="81"/>
      <c r="DR116" s="81"/>
      <c r="DS116" s="81"/>
      <c r="DT116" s="81"/>
      <c r="DU116" s="81"/>
      <c r="DV116" s="81"/>
      <c r="DW116" s="81"/>
      <c r="DX116" s="81"/>
      <c r="DY116" s="81"/>
      <c r="DZ116" s="81"/>
      <c r="EA116" s="81"/>
      <c r="EB116" s="81"/>
    </row>
    <row r="117" spans="2:132" ht="17.100000000000001" customHeight="1">
      <c r="B117" s="58">
        <v>4</v>
      </c>
      <c r="C117" s="58" t="s">
        <v>658</v>
      </c>
      <c r="D117" s="59"/>
      <c r="E117" s="60"/>
      <c r="F117" s="60"/>
      <c r="G117" s="60" t="s">
        <v>933</v>
      </c>
      <c r="H117" s="62"/>
      <c r="I117" s="123"/>
      <c r="J117" s="61"/>
      <c r="K117" s="61"/>
      <c r="L117" s="145"/>
      <c r="M117" s="123"/>
      <c r="N117" s="145"/>
      <c r="O117" s="145" t="s">
        <v>836</v>
      </c>
      <c r="P117" s="61"/>
      <c r="Q117" s="61"/>
      <c r="R117" s="61"/>
      <c r="S117" s="61"/>
      <c r="T117" s="61"/>
      <c r="U117" s="61"/>
      <c r="V117" s="63"/>
      <c r="W117" s="64">
        <v>45224</v>
      </c>
      <c r="X117" s="61">
        <v>3</v>
      </c>
      <c r="Y117" s="140">
        <f t="shared" ref="Y117:Y120" si="122">IF(AND(W117="",X117="")=TRUE,"",WORKDAY(W117,X117-1,Holidays))</f>
        <v>45226</v>
      </c>
      <c r="Z117" s="64"/>
      <c r="AA117" s="126" t="str">
        <f t="shared" ca="1" si="120"/>
        <v/>
      </c>
      <c r="AB117" s="65"/>
      <c r="AC117" s="66">
        <v>0</v>
      </c>
      <c r="AD117" s="125" t="str">
        <f t="shared" si="115"/>
        <v>Open</v>
      </c>
      <c r="AE117" s="150"/>
      <c r="AF117" s="80"/>
      <c r="AG117" s="81"/>
      <c r="AH117" s="81"/>
      <c r="AI117" s="81"/>
      <c r="AJ117" s="81"/>
      <c r="AK117" s="81"/>
      <c r="AL117" s="81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  <c r="BA117" s="81"/>
      <c r="BB117" s="81"/>
      <c r="BC117" s="81"/>
      <c r="BD117" s="81"/>
      <c r="BE117" s="81"/>
      <c r="BF117" s="81"/>
      <c r="BG117" s="81"/>
      <c r="BH117" s="81"/>
      <c r="BI117" s="81"/>
      <c r="BJ117" s="81"/>
      <c r="BK117" s="81"/>
      <c r="BL117" s="81"/>
      <c r="BM117" s="81"/>
      <c r="BN117" s="81"/>
      <c r="BO117" s="81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1"/>
      <c r="CI117" s="81"/>
      <c r="CJ117" s="81"/>
      <c r="CK117" s="81"/>
      <c r="CL117" s="81"/>
      <c r="CM117" s="81"/>
      <c r="CN117" s="81"/>
      <c r="CO117" s="81"/>
      <c r="CP117" s="81"/>
      <c r="CQ117" s="81"/>
      <c r="CR117" s="81"/>
      <c r="CS117" s="81"/>
      <c r="CT117" s="81"/>
      <c r="CU117" s="81"/>
      <c r="CV117" s="81"/>
      <c r="CW117" s="81"/>
      <c r="CX117" s="81"/>
      <c r="CY117" s="81"/>
      <c r="CZ117" s="81"/>
      <c r="DA117" s="81"/>
      <c r="DB117" s="81"/>
      <c r="DC117" s="81"/>
      <c r="DD117" s="81"/>
      <c r="DE117" s="81"/>
      <c r="DF117" s="81"/>
      <c r="DG117" s="81"/>
      <c r="DH117" s="81"/>
      <c r="DI117" s="81"/>
      <c r="DJ117" s="81"/>
      <c r="DK117" s="81"/>
      <c r="DL117" s="81"/>
      <c r="DM117" s="81"/>
      <c r="DN117" s="81"/>
      <c r="DO117" s="81"/>
      <c r="DP117" s="81"/>
      <c r="DQ117" s="81"/>
      <c r="DR117" s="81"/>
      <c r="DS117" s="81"/>
      <c r="DT117" s="81"/>
      <c r="DU117" s="81"/>
      <c r="DV117" s="81"/>
      <c r="DW117" s="81"/>
      <c r="DX117" s="81"/>
      <c r="DY117" s="81"/>
      <c r="DZ117" s="81"/>
      <c r="EA117" s="81"/>
      <c r="EB117" s="81"/>
    </row>
    <row r="118" spans="2:132" ht="17.100000000000001" customHeight="1">
      <c r="B118" s="58">
        <v>4</v>
      </c>
      <c r="C118" s="58" t="s">
        <v>658</v>
      </c>
      <c r="D118" s="59"/>
      <c r="E118" s="60"/>
      <c r="F118" s="60"/>
      <c r="G118" s="60" t="s">
        <v>934</v>
      </c>
      <c r="H118" s="62"/>
      <c r="I118" s="123"/>
      <c r="J118" s="61"/>
      <c r="K118" s="61"/>
      <c r="L118" s="145"/>
      <c r="M118" s="123"/>
      <c r="N118" s="145"/>
      <c r="O118" s="145" t="s">
        <v>836</v>
      </c>
      <c r="P118" s="61"/>
      <c r="Q118" s="61"/>
      <c r="R118" s="61"/>
      <c r="S118" s="61"/>
      <c r="T118" s="61"/>
      <c r="U118" s="61"/>
      <c r="V118" s="63"/>
      <c r="W118" s="64">
        <v>45231</v>
      </c>
      <c r="X118" s="61">
        <v>3</v>
      </c>
      <c r="Y118" s="140">
        <f t="shared" si="122"/>
        <v>45233</v>
      </c>
      <c r="Z118" s="64"/>
      <c r="AA118" s="126"/>
      <c r="AB118" s="65"/>
      <c r="AC118" s="66">
        <v>0</v>
      </c>
      <c r="AD118" s="125" t="str">
        <f t="shared" si="115"/>
        <v>Open</v>
      </c>
      <c r="AE118" s="150"/>
      <c r="AF118" s="80"/>
      <c r="AG118" s="81"/>
      <c r="AH118" s="81"/>
      <c r="AI118" s="81"/>
      <c r="AJ118" s="81"/>
      <c r="AK118" s="81"/>
      <c r="AL118" s="81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81"/>
      <c r="BH118" s="81"/>
      <c r="BI118" s="81"/>
      <c r="BJ118" s="81"/>
      <c r="BK118" s="81"/>
      <c r="BL118" s="81"/>
      <c r="BM118" s="81"/>
      <c r="BN118" s="81"/>
      <c r="BO118" s="81"/>
      <c r="BP118" s="8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1"/>
      <c r="CI118" s="81"/>
      <c r="CJ118" s="81"/>
      <c r="CK118" s="81"/>
      <c r="CL118" s="81"/>
      <c r="CM118" s="81"/>
      <c r="CN118" s="81"/>
      <c r="CO118" s="81"/>
      <c r="CP118" s="81"/>
      <c r="CQ118" s="81"/>
      <c r="CR118" s="81"/>
      <c r="CS118" s="81"/>
      <c r="CT118" s="81"/>
      <c r="CU118" s="81"/>
      <c r="CV118" s="81"/>
      <c r="CW118" s="81"/>
      <c r="CX118" s="81"/>
      <c r="CY118" s="81"/>
      <c r="CZ118" s="81"/>
      <c r="DA118" s="81"/>
      <c r="DB118" s="81"/>
      <c r="DC118" s="81"/>
      <c r="DD118" s="81"/>
      <c r="DE118" s="81"/>
      <c r="DF118" s="81"/>
      <c r="DG118" s="81"/>
      <c r="DH118" s="81"/>
      <c r="DI118" s="81"/>
      <c r="DJ118" s="81"/>
      <c r="DK118" s="81"/>
      <c r="DL118" s="81"/>
      <c r="DM118" s="81"/>
      <c r="DN118" s="81"/>
      <c r="DO118" s="81"/>
      <c r="DP118" s="81"/>
      <c r="DQ118" s="81"/>
      <c r="DR118" s="81"/>
      <c r="DS118" s="81"/>
      <c r="DT118" s="81"/>
      <c r="DU118" s="81"/>
      <c r="DV118" s="81"/>
      <c r="DW118" s="81"/>
      <c r="DX118" s="81"/>
      <c r="DY118" s="81"/>
      <c r="DZ118" s="81"/>
      <c r="EA118" s="81"/>
      <c r="EB118" s="81"/>
    </row>
    <row r="119" spans="2:132" ht="17.100000000000001" customHeight="1">
      <c r="B119" s="58">
        <v>4</v>
      </c>
      <c r="C119" s="58" t="s">
        <v>658</v>
      </c>
      <c r="D119" s="59"/>
      <c r="E119" s="60"/>
      <c r="F119" s="60"/>
      <c r="G119" s="60" t="s">
        <v>935</v>
      </c>
      <c r="H119" s="62"/>
      <c r="I119" s="123"/>
      <c r="J119" s="61"/>
      <c r="K119" s="61"/>
      <c r="L119" s="145"/>
      <c r="M119" s="123"/>
      <c r="N119" s="145" t="s">
        <v>836</v>
      </c>
      <c r="O119" s="145" t="s">
        <v>836</v>
      </c>
      <c r="P119" s="61"/>
      <c r="Q119" s="61"/>
      <c r="R119" s="61"/>
      <c r="S119" s="61"/>
      <c r="T119" s="61"/>
      <c r="U119" s="61"/>
      <c r="V119" s="63"/>
      <c r="W119" s="64">
        <v>45236</v>
      </c>
      <c r="X119" s="61">
        <v>5</v>
      </c>
      <c r="Y119" s="140">
        <f t="shared" si="122"/>
        <v>45240</v>
      </c>
      <c r="Z119" s="64"/>
      <c r="AA119" s="126"/>
      <c r="AB119" s="65"/>
      <c r="AC119" s="66">
        <v>0</v>
      </c>
      <c r="AD119" s="125" t="str">
        <f t="shared" si="115"/>
        <v>Open</v>
      </c>
      <c r="AE119" s="150"/>
      <c r="AF119" s="80"/>
      <c r="AG119" s="81"/>
      <c r="AH119" s="81"/>
      <c r="AI119" s="81"/>
      <c r="AJ119" s="81"/>
      <c r="AK119" s="81"/>
      <c r="AL119" s="81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  <c r="BA119" s="81"/>
      <c r="BB119" s="81"/>
      <c r="BC119" s="81"/>
      <c r="BD119" s="81"/>
      <c r="BE119" s="81"/>
      <c r="BF119" s="81"/>
      <c r="BG119" s="81"/>
      <c r="BH119" s="81"/>
      <c r="BI119" s="81"/>
      <c r="BJ119" s="81"/>
      <c r="BK119" s="81"/>
      <c r="BL119" s="81"/>
      <c r="BM119" s="81"/>
      <c r="BN119" s="81"/>
      <c r="BO119" s="81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1"/>
      <c r="CI119" s="81"/>
      <c r="CJ119" s="81"/>
      <c r="CK119" s="81"/>
      <c r="CL119" s="81"/>
      <c r="CM119" s="81"/>
      <c r="CN119" s="81"/>
      <c r="CO119" s="81"/>
      <c r="CP119" s="81"/>
      <c r="CQ119" s="81"/>
      <c r="CR119" s="81"/>
      <c r="CS119" s="81"/>
      <c r="CT119" s="81"/>
      <c r="CU119" s="81"/>
      <c r="CV119" s="81"/>
      <c r="CW119" s="81"/>
      <c r="CX119" s="81"/>
      <c r="CY119" s="81"/>
      <c r="CZ119" s="81"/>
      <c r="DA119" s="81"/>
      <c r="DB119" s="81"/>
      <c r="DC119" s="81"/>
      <c r="DD119" s="81"/>
      <c r="DE119" s="81"/>
      <c r="DF119" s="81"/>
      <c r="DG119" s="81"/>
      <c r="DH119" s="81"/>
      <c r="DI119" s="81"/>
      <c r="DJ119" s="81"/>
      <c r="DK119" s="81"/>
      <c r="DL119" s="81"/>
      <c r="DM119" s="81"/>
      <c r="DN119" s="81"/>
      <c r="DO119" s="81"/>
      <c r="DP119" s="81"/>
      <c r="DQ119" s="81"/>
      <c r="DR119" s="81"/>
      <c r="DS119" s="81"/>
      <c r="DT119" s="81"/>
      <c r="DU119" s="81"/>
      <c r="DV119" s="81"/>
      <c r="DW119" s="81"/>
      <c r="DX119" s="81"/>
      <c r="DY119" s="81"/>
      <c r="DZ119" s="81"/>
      <c r="EA119" s="81"/>
      <c r="EB119" s="81"/>
    </row>
    <row r="120" spans="2:132" ht="17.100000000000001" customHeight="1">
      <c r="B120" s="58">
        <v>4</v>
      </c>
      <c r="C120" s="58" t="s">
        <v>658</v>
      </c>
      <c r="D120" s="59"/>
      <c r="E120" s="60"/>
      <c r="F120" s="60"/>
      <c r="G120" s="60" t="s">
        <v>936</v>
      </c>
      <c r="H120" s="62"/>
      <c r="I120" s="123"/>
      <c r="J120" s="61"/>
      <c r="K120" s="61"/>
      <c r="L120" s="145"/>
      <c r="M120" s="123"/>
      <c r="N120" s="145"/>
      <c r="O120" s="145" t="s">
        <v>836</v>
      </c>
      <c r="P120" s="61"/>
      <c r="Q120" s="61"/>
      <c r="R120" s="61"/>
      <c r="S120" s="61"/>
      <c r="T120" s="61"/>
      <c r="U120" s="61"/>
      <c r="V120" s="63"/>
      <c r="W120" s="64">
        <v>45243</v>
      </c>
      <c r="X120" s="61">
        <v>2</v>
      </c>
      <c r="Y120" s="140">
        <f t="shared" si="122"/>
        <v>45244</v>
      </c>
      <c r="Z120" s="64"/>
      <c r="AA120" s="126"/>
      <c r="AB120" s="65"/>
      <c r="AC120" s="66">
        <v>0</v>
      </c>
      <c r="AD120" s="125" t="str">
        <f t="shared" si="115"/>
        <v>Open</v>
      </c>
      <c r="AE120" s="150"/>
      <c r="AF120" s="80"/>
      <c r="AG120" s="81"/>
      <c r="AH120" s="81"/>
      <c r="AI120" s="81"/>
      <c r="AJ120" s="81"/>
      <c r="AK120" s="81"/>
      <c r="AL120" s="81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  <c r="BA120" s="81"/>
      <c r="BB120" s="81"/>
      <c r="BC120" s="81"/>
      <c r="BD120" s="81"/>
      <c r="BE120" s="81"/>
      <c r="BF120" s="81"/>
      <c r="BG120" s="81"/>
      <c r="BH120" s="81"/>
      <c r="BI120" s="81"/>
      <c r="BJ120" s="81"/>
      <c r="BK120" s="81"/>
      <c r="BL120" s="81"/>
      <c r="BM120" s="81"/>
      <c r="BN120" s="81"/>
      <c r="BO120" s="81"/>
      <c r="BP120" s="8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1"/>
      <c r="CI120" s="81"/>
      <c r="CJ120" s="81"/>
      <c r="CK120" s="81"/>
      <c r="CL120" s="81"/>
      <c r="CM120" s="81"/>
      <c r="CN120" s="81"/>
      <c r="CO120" s="81"/>
      <c r="CP120" s="81"/>
      <c r="CQ120" s="81"/>
      <c r="CR120" s="81"/>
      <c r="CS120" s="81"/>
      <c r="CT120" s="81"/>
      <c r="CU120" s="81"/>
      <c r="CV120" s="81"/>
      <c r="CW120" s="81"/>
      <c r="CX120" s="81"/>
      <c r="CY120" s="81"/>
      <c r="CZ120" s="81"/>
      <c r="DA120" s="81"/>
      <c r="DB120" s="81"/>
      <c r="DC120" s="81"/>
      <c r="DD120" s="81"/>
      <c r="DE120" s="81"/>
      <c r="DF120" s="81"/>
      <c r="DG120" s="81"/>
      <c r="DH120" s="81"/>
      <c r="DI120" s="81"/>
      <c r="DJ120" s="81"/>
      <c r="DK120" s="81"/>
      <c r="DL120" s="81"/>
      <c r="DM120" s="81"/>
      <c r="DN120" s="81"/>
      <c r="DO120" s="81"/>
      <c r="DP120" s="81"/>
      <c r="DQ120" s="81"/>
      <c r="DR120" s="81"/>
      <c r="DS120" s="81"/>
      <c r="DT120" s="81"/>
      <c r="DU120" s="81"/>
      <c r="DV120" s="81"/>
      <c r="DW120" s="81"/>
      <c r="DX120" s="81"/>
      <c r="DY120" s="81"/>
      <c r="DZ120" s="81"/>
      <c r="EA120" s="81"/>
      <c r="EB120" s="81"/>
    </row>
    <row r="121" spans="2:132" ht="17.100000000000001" customHeight="1">
      <c r="B121" s="83">
        <v>1</v>
      </c>
      <c r="C121" s="83" t="s">
        <v>655</v>
      </c>
      <c r="D121" s="141" t="s">
        <v>937</v>
      </c>
      <c r="E121" s="142"/>
      <c r="F121" s="142"/>
      <c r="G121" s="142"/>
      <c r="H121" s="143"/>
      <c r="I121" s="117" t="str">
        <f t="shared" ref="I121:V121" si="123">IF(COUNTIF(I122:I128,"●")&gt;0,"●","")</f>
        <v/>
      </c>
      <c r="J121" s="82" t="str">
        <f t="shared" si="123"/>
        <v/>
      </c>
      <c r="K121" s="82" t="str">
        <f t="shared" si="123"/>
        <v/>
      </c>
      <c r="L121" s="146" t="str">
        <f t="shared" si="123"/>
        <v/>
      </c>
      <c r="M121" s="117" t="str">
        <f t="shared" si="123"/>
        <v/>
      </c>
      <c r="N121" s="82" t="str">
        <f t="shared" si="123"/>
        <v>●</v>
      </c>
      <c r="O121" s="146" t="str">
        <f t="shared" si="123"/>
        <v>●</v>
      </c>
      <c r="P121" s="146" t="str">
        <f t="shared" si="123"/>
        <v/>
      </c>
      <c r="Q121" s="146" t="str">
        <f t="shared" si="123"/>
        <v/>
      </c>
      <c r="R121" s="146" t="str">
        <f t="shared" si="123"/>
        <v/>
      </c>
      <c r="S121" s="146" t="str">
        <f t="shared" si="123"/>
        <v/>
      </c>
      <c r="T121" s="146" t="str">
        <f t="shared" si="123"/>
        <v/>
      </c>
      <c r="U121" s="146" t="str">
        <f t="shared" si="123"/>
        <v/>
      </c>
      <c r="V121" s="146" t="str">
        <f t="shared" si="123"/>
        <v/>
      </c>
      <c r="W121" s="85">
        <f>IF(MIN(W122:W128)=0,"",MIN(W122:W128))</f>
        <v>45243</v>
      </c>
      <c r="X121" s="86">
        <f ca="1">IF(AND(W121="",Y121="")=TRUE,"",IF(AND(W121&gt;0,Y121="")=TRUE,NETWORKDAYS(W121,TODAY(),Holidays),NETWORKDAYS(W121,Y121,Holidays)))</f>
        <v>5</v>
      </c>
      <c r="Y121" s="87">
        <f>IF(MAX(Y122:Y128)=0,"",MAX(Y122:Y128))</f>
        <v>45247</v>
      </c>
      <c r="Z121" s="85" t="str">
        <f>IF(MIN(Z122:Z128)=0,"",MIN(Z122:Z128))</f>
        <v/>
      </c>
      <c r="AA121" s="86" t="str">
        <f ca="1">IF(AND(Z121="",AB121="")=TRUE,"",IF(AND(Z121&gt;0,AB121="")=TRUE,NETWORKDAYS(Z121,TODAY(),Holidays),NETWORKDAYS(Z121,AB121,Holidays)))</f>
        <v/>
      </c>
      <c r="AB121" s="87" t="str">
        <f>IF(MAX(AB122:AB128)=0,"",MAX(AB122:AB128))</f>
        <v/>
      </c>
      <c r="AC121" s="88">
        <f>IFERROR(AVERAGE(AC122),"")</f>
        <v>0</v>
      </c>
      <c r="AD121" s="89" t="str">
        <f t="shared" si="115"/>
        <v>Open</v>
      </c>
      <c r="AE121" s="90"/>
      <c r="AF121" s="80"/>
      <c r="AG121" s="81"/>
      <c r="AH121" s="81"/>
      <c r="AI121" s="81"/>
      <c r="AJ121" s="81"/>
      <c r="AK121" s="81"/>
      <c r="AL121" s="81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  <c r="BA121" s="81"/>
      <c r="BB121" s="81"/>
      <c r="BC121" s="81"/>
      <c r="BD121" s="81"/>
      <c r="BE121" s="81"/>
      <c r="BF121" s="81"/>
      <c r="BG121" s="81"/>
      <c r="BH121" s="81"/>
      <c r="BI121" s="81"/>
      <c r="BJ121" s="81"/>
      <c r="BK121" s="81"/>
      <c r="BL121" s="81"/>
      <c r="BM121" s="81"/>
      <c r="BN121" s="81"/>
      <c r="BO121" s="81"/>
      <c r="BP121" s="81"/>
      <c r="BQ121" s="81"/>
      <c r="BR121" s="81"/>
      <c r="BS121" s="81"/>
      <c r="BT121" s="81"/>
      <c r="BU121" s="81"/>
      <c r="BV121" s="81"/>
      <c r="BW121" s="81"/>
      <c r="BX121" s="81"/>
      <c r="BY121" s="81"/>
      <c r="BZ121" s="81"/>
      <c r="CA121" s="81"/>
      <c r="CB121" s="81"/>
      <c r="CC121" s="81"/>
      <c r="CD121" s="81"/>
      <c r="CE121" s="81"/>
      <c r="CF121" s="81"/>
      <c r="CG121" s="81"/>
      <c r="CH121" s="81"/>
      <c r="CI121" s="81"/>
      <c r="CJ121" s="81"/>
      <c r="CK121" s="81"/>
      <c r="CL121" s="81"/>
      <c r="CM121" s="81"/>
      <c r="CN121" s="81"/>
      <c r="CO121" s="81"/>
      <c r="CP121" s="81"/>
      <c r="CQ121" s="81"/>
      <c r="CR121" s="81"/>
      <c r="CS121" s="81"/>
      <c r="CT121" s="81"/>
      <c r="CU121" s="81"/>
      <c r="CV121" s="81"/>
      <c r="CW121" s="81"/>
      <c r="CX121" s="81"/>
      <c r="CY121" s="81"/>
      <c r="CZ121" s="81"/>
      <c r="DA121" s="81"/>
      <c r="DB121" s="81"/>
      <c r="DC121" s="81"/>
      <c r="DD121" s="81"/>
      <c r="DE121" s="81"/>
      <c r="DF121" s="81"/>
      <c r="DG121" s="81"/>
      <c r="DH121" s="81"/>
      <c r="DI121" s="81"/>
      <c r="DJ121" s="81"/>
      <c r="DK121" s="81"/>
      <c r="DL121" s="81"/>
      <c r="DM121" s="81"/>
      <c r="DN121" s="81"/>
      <c r="DO121" s="81"/>
      <c r="DP121" s="81"/>
      <c r="DQ121" s="81"/>
      <c r="DR121" s="81"/>
      <c r="DS121" s="81"/>
      <c r="DT121" s="81"/>
      <c r="DU121" s="81"/>
      <c r="DV121" s="81"/>
      <c r="DW121" s="81"/>
      <c r="DX121" s="81"/>
      <c r="DY121" s="81"/>
      <c r="DZ121" s="81"/>
      <c r="EA121" s="81"/>
      <c r="EB121" s="81"/>
    </row>
    <row r="122" spans="2:132" ht="17.100000000000001" customHeight="1">
      <c r="B122" s="92">
        <v>2</v>
      </c>
      <c r="C122" s="92" t="s">
        <v>655</v>
      </c>
      <c r="D122" s="93"/>
      <c r="E122" s="94" t="s">
        <v>938</v>
      </c>
      <c r="F122" s="94"/>
      <c r="G122" s="94"/>
      <c r="H122" s="95"/>
      <c r="I122" s="118" t="str">
        <f t="shared" ref="I122:V122" si="124">IF(COUNTIF(I123:I128,"●")&gt;0,"●","")</f>
        <v/>
      </c>
      <c r="J122" s="91" t="str">
        <f t="shared" si="124"/>
        <v/>
      </c>
      <c r="K122" s="91" t="str">
        <f t="shared" si="124"/>
        <v/>
      </c>
      <c r="L122" s="144" t="str">
        <f t="shared" si="124"/>
        <v/>
      </c>
      <c r="M122" s="118" t="str">
        <f t="shared" si="124"/>
        <v/>
      </c>
      <c r="N122" s="91" t="str">
        <f t="shared" si="124"/>
        <v>●</v>
      </c>
      <c r="O122" s="144" t="str">
        <f t="shared" si="124"/>
        <v>●</v>
      </c>
      <c r="P122" s="144" t="str">
        <f t="shared" si="124"/>
        <v/>
      </c>
      <c r="Q122" s="144" t="str">
        <f t="shared" si="124"/>
        <v/>
      </c>
      <c r="R122" s="144" t="str">
        <f t="shared" si="124"/>
        <v/>
      </c>
      <c r="S122" s="144" t="str">
        <f t="shared" si="124"/>
        <v/>
      </c>
      <c r="T122" s="144" t="str">
        <f t="shared" si="124"/>
        <v/>
      </c>
      <c r="U122" s="144" t="str">
        <f t="shared" si="124"/>
        <v/>
      </c>
      <c r="V122" s="144" t="str">
        <f t="shared" si="124"/>
        <v/>
      </c>
      <c r="W122" s="96">
        <f>IF(MIN(W123:W128)=0,"",MIN(W123:W128))</f>
        <v>45243</v>
      </c>
      <c r="X122" s="97">
        <f ca="1">IF(AND(W122="",Y122="")=TRUE,"",IF(AND(W122&gt;0,Y122="")=TRUE,NETWORKDAYS(W122,TODAY(),Holidays),NETWORKDAYS(W122,Y122,Holidays)))</f>
        <v>5</v>
      </c>
      <c r="Y122" s="139">
        <f>IF(MAX(Y123:Y128)=0,"",MAX(Y123:Y128))</f>
        <v>45247</v>
      </c>
      <c r="Z122" s="96" t="str">
        <f>IF(MIN(Z123:Z128)=0,"",MIN(Z123:Z128))</f>
        <v/>
      </c>
      <c r="AA122" s="97" t="str">
        <f t="shared" ref="AA122:AA124" ca="1" si="125">IF(AND(Z122="",AB122="")=TRUE,"",IF(AND(Z122&gt;0,AB122="")=TRUE,NETWORKDAYS(Z122,TODAY(),Holidays),NETWORKDAYS(Z122,AB122,Holidays)))</f>
        <v/>
      </c>
      <c r="AB122" s="98" t="str">
        <f>IF(MAX(AB123:AB128)=0,"",MAX(AB123:AB128))</f>
        <v/>
      </c>
      <c r="AC122" s="99">
        <f>IFERROR(AVERAGE(AC123,AC126),"")</f>
        <v>0</v>
      </c>
      <c r="AD122" s="100" t="str">
        <f t="shared" si="115"/>
        <v>Open</v>
      </c>
      <c r="AE122" s="101"/>
      <c r="AF122" s="80"/>
      <c r="AG122" s="81"/>
      <c r="AH122" s="81"/>
      <c r="AI122" s="81"/>
      <c r="AJ122" s="81"/>
      <c r="AK122" s="81"/>
      <c r="AL122" s="81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  <c r="BA122" s="81"/>
      <c r="BB122" s="81"/>
      <c r="BC122" s="81"/>
      <c r="BD122" s="81"/>
      <c r="BE122" s="81"/>
      <c r="BF122" s="81"/>
      <c r="BG122" s="81"/>
      <c r="BH122" s="81"/>
      <c r="BI122" s="81"/>
      <c r="BJ122" s="81"/>
      <c r="BK122" s="81"/>
      <c r="BL122" s="81"/>
      <c r="BM122" s="81"/>
      <c r="BN122" s="81"/>
      <c r="BO122" s="81"/>
      <c r="BP122" s="81"/>
      <c r="BQ122" s="81"/>
      <c r="BR122" s="81"/>
      <c r="BS122" s="81"/>
      <c r="BT122" s="81"/>
      <c r="BU122" s="81"/>
      <c r="BV122" s="81"/>
      <c r="BW122" s="81"/>
      <c r="BX122" s="81"/>
      <c r="BY122" s="81"/>
      <c r="BZ122" s="81"/>
      <c r="CA122" s="81"/>
      <c r="CB122" s="81"/>
      <c r="CC122" s="81"/>
      <c r="CD122" s="81"/>
      <c r="CE122" s="81"/>
      <c r="CF122" s="81"/>
      <c r="CG122" s="81"/>
      <c r="CH122" s="81"/>
      <c r="CI122" s="81"/>
      <c r="CJ122" s="81"/>
      <c r="CK122" s="81"/>
      <c r="CL122" s="81"/>
      <c r="CM122" s="81"/>
      <c r="CN122" s="81"/>
      <c r="CO122" s="81"/>
      <c r="CP122" s="81"/>
      <c r="CQ122" s="81"/>
      <c r="CR122" s="81"/>
      <c r="CS122" s="81"/>
      <c r="CT122" s="81"/>
      <c r="CU122" s="81"/>
      <c r="CV122" s="81"/>
      <c r="CW122" s="81"/>
      <c r="CX122" s="81"/>
      <c r="CY122" s="81"/>
      <c r="CZ122" s="81"/>
      <c r="DA122" s="81"/>
      <c r="DB122" s="81"/>
      <c r="DC122" s="81"/>
      <c r="DD122" s="81"/>
      <c r="DE122" s="81"/>
      <c r="DF122" s="81"/>
      <c r="DG122" s="81"/>
      <c r="DH122" s="81"/>
      <c r="DI122" s="81"/>
      <c r="DJ122" s="81"/>
      <c r="DK122" s="81"/>
      <c r="DL122" s="81"/>
      <c r="DM122" s="81"/>
      <c r="DN122" s="81"/>
      <c r="DO122" s="81"/>
      <c r="DP122" s="81"/>
      <c r="DQ122" s="81"/>
      <c r="DR122" s="81"/>
      <c r="DS122" s="81"/>
      <c r="DT122" s="81"/>
      <c r="DU122" s="81"/>
      <c r="DV122" s="81"/>
      <c r="DW122" s="81"/>
      <c r="DX122" s="81"/>
      <c r="DY122" s="81"/>
      <c r="DZ122" s="81"/>
      <c r="EA122" s="81"/>
      <c r="EB122" s="81"/>
    </row>
    <row r="123" spans="2:132" ht="17.100000000000001" customHeight="1">
      <c r="B123" s="92">
        <v>3</v>
      </c>
      <c r="C123" s="92" t="s">
        <v>655</v>
      </c>
      <c r="D123" s="93"/>
      <c r="E123" s="94"/>
      <c r="F123" s="94" t="s">
        <v>939</v>
      </c>
      <c r="G123" s="94"/>
      <c r="H123" s="95"/>
      <c r="I123" s="118" t="str">
        <f t="shared" ref="I123:V123" si="126">IF(COUNTIF(I124:I125,"●")&gt;0,"●","")</f>
        <v/>
      </c>
      <c r="J123" s="91" t="str">
        <f t="shared" si="126"/>
        <v/>
      </c>
      <c r="K123" s="91" t="str">
        <f t="shared" si="126"/>
        <v/>
      </c>
      <c r="L123" s="144" t="str">
        <f t="shared" si="126"/>
        <v/>
      </c>
      <c r="M123" s="118" t="str">
        <f t="shared" si="126"/>
        <v/>
      </c>
      <c r="N123" s="91" t="str">
        <f t="shared" si="126"/>
        <v>●</v>
      </c>
      <c r="O123" s="144" t="str">
        <f t="shared" si="126"/>
        <v>●</v>
      </c>
      <c r="P123" s="144" t="str">
        <f t="shared" si="126"/>
        <v/>
      </c>
      <c r="Q123" s="144" t="str">
        <f t="shared" si="126"/>
        <v/>
      </c>
      <c r="R123" s="144" t="str">
        <f t="shared" si="126"/>
        <v/>
      </c>
      <c r="S123" s="144" t="str">
        <f t="shared" si="126"/>
        <v/>
      </c>
      <c r="T123" s="144" t="str">
        <f t="shared" si="126"/>
        <v/>
      </c>
      <c r="U123" s="144" t="str">
        <f t="shared" si="126"/>
        <v/>
      </c>
      <c r="V123" s="144" t="str">
        <f t="shared" si="126"/>
        <v/>
      </c>
      <c r="W123" s="96">
        <f>IF(MIN(W124:W125)=0,"",MIN(W124:W125))</f>
        <v>45243</v>
      </c>
      <c r="X123" s="97">
        <f ca="1">IF(AND(W123="",Y123="")=TRUE,"",IF(AND(W123&gt;0,Y123="")=TRUE,NETWORKDAYS(W123,TODAY(),Holidays),NETWORKDAYS(W123,Y123,Holidays)))</f>
        <v>5</v>
      </c>
      <c r="Y123" s="138">
        <f>IF(MAX(Y124:Y125)=0,"",MAX(Y124:Y125))</f>
        <v>45247</v>
      </c>
      <c r="Z123" s="96" t="str">
        <f>IF(MIN(Z124:Z125)=0,"",MIN(Z124:Z125))</f>
        <v/>
      </c>
      <c r="AA123" s="97" t="str">
        <f t="shared" ca="1" si="125"/>
        <v/>
      </c>
      <c r="AB123" s="98" t="str">
        <f>IF(MAX(AB124:AB125)=0,"",MAX(AB124:AB125))</f>
        <v/>
      </c>
      <c r="AC123" s="99">
        <f>IFERROR(AVERAGE(AC124:AC125),"")</f>
        <v>0</v>
      </c>
      <c r="AD123" s="100" t="str">
        <f t="shared" si="115"/>
        <v>Open</v>
      </c>
      <c r="AE123" s="101"/>
      <c r="AF123" s="80"/>
      <c r="AG123" s="81"/>
      <c r="AH123" s="81"/>
      <c r="AI123" s="81"/>
      <c r="AJ123" s="81"/>
      <c r="AK123" s="81"/>
      <c r="AL123" s="81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  <c r="BA123" s="81"/>
      <c r="BB123" s="81"/>
      <c r="BC123" s="81"/>
      <c r="BD123" s="81"/>
      <c r="BE123" s="81"/>
      <c r="BF123" s="81"/>
      <c r="BG123" s="81"/>
      <c r="BH123" s="81"/>
      <c r="BI123" s="81"/>
      <c r="BJ123" s="81"/>
      <c r="BK123" s="81"/>
      <c r="BL123" s="81"/>
      <c r="BM123" s="81"/>
      <c r="BN123" s="81"/>
      <c r="BO123" s="81"/>
      <c r="BP123" s="81"/>
      <c r="BQ123" s="81"/>
      <c r="BR123" s="81"/>
      <c r="BS123" s="81"/>
      <c r="BT123" s="81"/>
      <c r="BU123" s="81"/>
      <c r="BV123" s="81"/>
      <c r="BW123" s="81"/>
      <c r="BX123" s="81"/>
      <c r="BY123" s="81"/>
      <c r="BZ123" s="81"/>
      <c r="CA123" s="81"/>
      <c r="CB123" s="81"/>
      <c r="CC123" s="81"/>
      <c r="CD123" s="81"/>
      <c r="CE123" s="81"/>
      <c r="CF123" s="81"/>
      <c r="CG123" s="81"/>
      <c r="CH123" s="81"/>
      <c r="CI123" s="81"/>
      <c r="CJ123" s="81"/>
      <c r="CK123" s="81"/>
      <c r="CL123" s="81"/>
      <c r="CM123" s="81"/>
      <c r="CN123" s="81"/>
      <c r="CO123" s="81"/>
      <c r="CP123" s="81"/>
      <c r="CQ123" s="81"/>
      <c r="CR123" s="81"/>
      <c r="CS123" s="81"/>
      <c r="CT123" s="81"/>
      <c r="CU123" s="81"/>
      <c r="CV123" s="81"/>
      <c r="CW123" s="81"/>
      <c r="CX123" s="81"/>
      <c r="CY123" s="81"/>
      <c r="CZ123" s="81"/>
      <c r="DA123" s="81"/>
      <c r="DB123" s="81"/>
      <c r="DC123" s="81"/>
      <c r="DD123" s="81"/>
      <c r="DE123" s="81"/>
      <c r="DF123" s="81"/>
      <c r="DG123" s="81"/>
      <c r="DH123" s="81"/>
      <c r="DI123" s="81"/>
      <c r="DJ123" s="81"/>
      <c r="DK123" s="81"/>
      <c r="DL123" s="81"/>
      <c r="DM123" s="81"/>
      <c r="DN123" s="81"/>
      <c r="DO123" s="81"/>
      <c r="DP123" s="81"/>
      <c r="DQ123" s="81"/>
      <c r="DR123" s="81"/>
      <c r="DS123" s="81"/>
      <c r="DT123" s="81"/>
      <c r="DU123" s="81"/>
      <c r="DV123" s="81"/>
      <c r="DW123" s="81"/>
      <c r="DX123" s="81"/>
      <c r="DY123" s="81"/>
      <c r="DZ123" s="81"/>
      <c r="EA123" s="81"/>
      <c r="EB123" s="81"/>
    </row>
    <row r="124" spans="2:132" ht="17.100000000000001" customHeight="1">
      <c r="B124" s="58">
        <v>4</v>
      </c>
      <c r="C124" s="58" t="s">
        <v>658</v>
      </c>
      <c r="D124" s="59"/>
      <c r="E124" s="60"/>
      <c r="F124" s="60"/>
      <c r="G124" s="60" t="s">
        <v>940</v>
      </c>
      <c r="H124" s="62"/>
      <c r="I124" s="123"/>
      <c r="J124" s="61"/>
      <c r="K124" s="61"/>
      <c r="L124" s="145"/>
      <c r="M124" s="123"/>
      <c r="N124" s="145" t="s">
        <v>836</v>
      </c>
      <c r="O124" s="145" t="s">
        <v>836</v>
      </c>
      <c r="P124" s="61"/>
      <c r="Q124" s="61"/>
      <c r="R124" s="61"/>
      <c r="S124" s="61"/>
      <c r="T124" s="61"/>
      <c r="U124" s="61"/>
      <c r="V124" s="63"/>
      <c r="W124" s="64">
        <v>45243</v>
      </c>
      <c r="X124" s="61">
        <v>5</v>
      </c>
      <c r="Y124" s="140">
        <f t="shared" ref="Y124:Y125" si="127">IF(AND(W124="",X124="")=TRUE,"",WORKDAY(W124,X124-1,Holidays))</f>
        <v>45247</v>
      </c>
      <c r="Z124" s="64"/>
      <c r="AA124" s="126" t="str">
        <f t="shared" ca="1" si="125"/>
        <v/>
      </c>
      <c r="AB124" s="65"/>
      <c r="AC124" s="66">
        <v>0</v>
      </c>
      <c r="AD124" s="125" t="str">
        <f t="shared" si="115"/>
        <v>Open</v>
      </c>
      <c r="AE124" s="150"/>
      <c r="AF124" s="80"/>
      <c r="AG124" s="81"/>
      <c r="AH124" s="81"/>
      <c r="AI124" s="81"/>
      <c r="AJ124" s="81"/>
      <c r="AK124" s="81"/>
      <c r="AL124" s="81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  <c r="BA124" s="81"/>
      <c r="BB124" s="81"/>
      <c r="BC124" s="81"/>
      <c r="BD124" s="81"/>
      <c r="BE124" s="81"/>
      <c r="BF124" s="81"/>
      <c r="BG124" s="81"/>
      <c r="BH124" s="81"/>
      <c r="BI124" s="81"/>
      <c r="BJ124" s="81"/>
      <c r="BK124" s="81"/>
      <c r="BL124" s="81"/>
      <c r="BM124" s="81"/>
      <c r="BN124" s="81"/>
      <c r="BO124" s="81"/>
      <c r="BP124" s="81"/>
      <c r="BQ124" s="81"/>
      <c r="BR124" s="81"/>
      <c r="BS124" s="81"/>
      <c r="BT124" s="81"/>
      <c r="BU124" s="81"/>
      <c r="BV124" s="81"/>
      <c r="BW124" s="81"/>
      <c r="BX124" s="81"/>
      <c r="BY124" s="81"/>
      <c r="BZ124" s="81"/>
      <c r="CA124" s="81"/>
      <c r="CB124" s="81"/>
      <c r="CC124" s="81"/>
      <c r="CD124" s="81"/>
      <c r="CE124" s="81"/>
      <c r="CF124" s="81"/>
      <c r="CG124" s="81"/>
      <c r="CH124" s="81"/>
      <c r="CI124" s="81"/>
      <c r="CJ124" s="81"/>
      <c r="CK124" s="81"/>
      <c r="CL124" s="81"/>
      <c r="CM124" s="81"/>
      <c r="CN124" s="81"/>
      <c r="CO124" s="81"/>
      <c r="CP124" s="81"/>
      <c r="CQ124" s="81"/>
      <c r="CR124" s="81"/>
      <c r="CS124" s="81"/>
      <c r="CT124" s="81"/>
      <c r="CU124" s="81"/>
      <c r="CV124" s="81"/>
      <c r="CW124" s="81"/>
      <c r="CX124" s="81"/>
      <c r="CY124" s="81"/>
      <c r="CZ124" s="81"/>
      <c r="DA124" s="81"/>
      <c r="DB124" s="81"/>
      <c r="DC124" s="81"/>
      <c r="DD124" s="81"/>
      <c r="DE124" s="81"/>
      <c r="DF124" s="81"/>
      <c r="DG124" s="81"/>
      <c r="DH124" s="81"/>
      <c r="DI124" s="81"/>
      <c r="DJ124" s="81"/>
      <c r="DK124" s="81"/>
      <c r="DL124" s="81"/>
      <c r="DM124" s="81"/>
      <c r="DN124" s="81"/>
      <c r="DO124" s="81"/>
      <c r="DP124" s="81"/>
      <c r="DQ124" s="81"/>
      <c r="DR124" s="81"/>
      <c r="DS124" s="81"/>
      <c r="DT124" s="81"/>
      <c r="DU124" s="81"/>
      <c r="DV124" s="81"/>
      <c r="DW124" s="81"/>
      <c r="DX124" s="81"/>
      <c r="DY124" s="81"/>
      <c r="DZ124" s="81"/>
      <c r="EA124" s="81"/>
      <c r="EB124" s="81"/>
    </row>
    <row r="125" spans="2:132" ht="17.100000000000001" customHeight="1">
      <c r="B125" s="58">
        <v>4</v>
      </c>
      <c r="C125" s="58" t="s">
        <v>658</v>
      </c>
      <c r="D125" s="59"/>
      <c r="E125" s="60"/>
      <c r="F125" s="60"/>
      <c r="G125" s="60" t="s">
        <v>941</v>
      </c>
      <c r="H125" s="62"/>
      <c r="I125" s="123"/>
      <c r="J125" s="61"/>
      <c r="K125" s="61"/>
      <c r="L125" s="145"/>
      <c r="M125" s="123"/>
      <c r="N125" s="145" t="s">
        <v>836</v>
      </c>
      <c r="O125" s="145" t="s">
        <v>836</v>
      </c>
      <c r="P125" s="61"/>
      <c r="Q125" s="61"/>
      <c r="R125" s="61"/>
      <c r="S125" s="61"/>
      <c r="T125" s="61"/>
      <c r="U125" s="61"/>
      <c r="V125" s="63"/>
      <c r="W125" s="64">
        <v>45243</v>
      </c>
      <c r="X125" s="61">
        <v>5</v>
      </c>
      <c r="Y125" s="140">
        <f t="shared" si="127"/>
        <v>45247</v>
      </c>
      <c r="Z125" s="64"/>
      <c r="AA125" s="126"/>
      <c r="AB125" s="65"/>
      <c r="AC125" s="66">
        <v>0</v>
      </c>
      <c r="AD125" s="125" t="str">
        <f t="shared" si="115"/>
        <v>Open</v>
      </c>
      <c r="AE125" s="150"/>
      <c r="AF125" s="80"/>
      <c r="AG125" s="81"/>
      <c r="AH125" s="81"/>
      <c r="AI125" s="81"/>
      <c r="AJ125" s="81"/>
      <c r="AK125" s="81"/>
      <c r="AL125" s="81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  <c r="BA125" s="81"/>
      <c r="BB125" s="81"/>
      <c r="BC125" s="81"/>
      <c r="BD125" s="81"/>
      <c r="BE125" s="81"/>
      <c r="BF125" s="81"/>
      <c r="BG125" s="81"/>
      <c r="BH125" s="81"/>
      <c r="BI125" s="81"/>
      <c r="BJ125" s="81"/>
      <c r="BK125" s="81"/>
      <c r="BL125" s="81"/>
      <c r="BM125" s="81"/>
      <c r="BN125" s="81"/>
      <c r="BO125" s="81"/>
      <c r="BP125" s="81"/>
      <c r="BQ125" s="81"/>
      <c r="BR125" s="81"/>
      <c r="BS125" s="81"/>
      <c r="BT125" s="81"/>
      <c r="BU125" s="81"/>
      <c r="BV125" s="81"/>
      <c r="BW125" s="81"/>
      <c r="BX125" s="81"/>
      <c r="BY125" s="81"/>
      <c r="BZ125" s="81"/>
      <c r="CA125" s="81"/>
      <c r="CB125" s="81"/>
      <c r="CC125" s="81"/>
      <c r="CD125" s="81"/>
      <c r="CE125" s="81"/>
      <c r="CF125" s="81"/>
      <c r="CG125" s="81"/>
      <c r="CH125" s="81"/>
      <c r="CI125" s="81"/>
      <c r="CJ125" s="81"/>
      <c r="CK125" s="81"/>
      <c r="CL125" s="81"/>
      <c r="CM125" s="81"/>
      <c r="CN125" s="81"/>
      <c r="CO125" s="81"/>
      <c r="CP125" s="81"/>
      <c r="CQ125" s="81"/>
      <c r="CR125" s="81"/>
      <c r="CS125" s="81"/>
      <c r="CT125" s="81"/>
      <c r="CU125" s="81"/>
      <c r="CV125" s="81"/>
      <c r="CW125" s="81"/>
      <c r="CX125" s="81"/>
      <c r="CY125" s="81"/>
      <c r="CZ125" s="81"/>
      <c r="DA125" s="81"/>
      <c r="DB125" s="81"/>
      <c r="DC125" s="81"/>
      <c r="DD125" s="81"/>
      <c r="DE125" s="81"/>
      <c r="DF125" s="81"/>
      <c r="DG125" s="81"/>
      <c r="DH125" s="81"/>
      <c r="DI125" s="81"/>
      <c r="DJ125" s="81"/>
      <c r="DK125" s="81"/>
      <c r="DL125" s="81"/>
      <c r="DM125" s="81"/>
      <c r="DN125" s="81"/>
      <c r="DO125" s="81"/>
      <c r="DP125" s="81"/>
      <c r="DQ125" s="81"/>
      <c r="DR125" s="81"/>
      <c r="DS125" s="81"/>
      <c r="DT125" s="81"/>
      <c r="DU125" s="81"/>
      <c r="DV125" s="81"/>
      <c r="DW125" s="81"/>
      <c r="DX125" s="81"/>
      <c r="DY125" s="81"/>
      <c r="DZ125" s="81"/>
      <c r="EA125" s="81"/>
      <c r="EB125" s="81"/>
    </row>
    <row r="126" spans="2:132" ht="17.100000000000001" customHeight="1">
      <c r="B126" s="92">
        <v>3</v>
      </c>
      <c r="C126" s="92" t="s">
        <v>655</v>
      </c>
      <c r="D126" s="93"/>
      <c r="E126" s="94"/>
      <c r="F126" s="94" t="s">
        <v>942</v>
      </c>
      <c r="G126" s="94"/>
      <c r="H126" s="95"/>
      <c r="I126" s="118" t="str">
        <f t="shared" ref="I126:V126" si="128">IF(COUNTIF(I127:I128,"●")&gt;0,"●","")</f>
        <v/>
      </c>
      <c r="J126" s="91" t="str">
        <f t="shared" si="128"/>
        <v/>
      </c>
      <c r="K126" s="91" t="str">
        <f t="shared" si="128"/>
        <v/>
      </c>
      <c r="L126" s="144" t="str">
        <f t="shared" si="128"/>
        <v/>
      </c>
      <c r="M126" s="118" t="str">
        <f t="shared" si="128"/>
        <v/>
      </c>
      <c r="N126" s="91" t="str">
        <f t="shared" si="128"/>
        <v>●</v>
      </c>
      <c r="O126" s="144" t="str">
        <f t="shared" si="128"/>
        <v>●</v>
      </c>
      <c r="P126" s="144" t="str">
        <f t="shared" si="128"/>
        <v/>
      </c>
      <c r="Q126" s="144" t="str">
        <f t="shared" si="128"/>
        <v/>
      </c>
      <c r="R126" s="144" t="str">
        <f t="shared" si="128"/>
        <v/>
      </c>
      <c r="S126" s="144" t="str">
        <f t="shared" si="128"/>
        <v/>
      </c>
      <c r="T126" s="144" t="str">
        <f t="shared" si="128"/>
        <v/>
      </c>
      <c r="U126" s="144" t="str">
        <f t="shared" si="128"/>
        <v/>
      </c>
      <c r="V126" s="144" t="str">
        <f t="shared" si="128"/>
        <v/>
      </c>
      <c r="W126" s="96">
        <f>IF(MIN(W127:W128)=0,"",MIN(W127:W128))</f>
        <v>45243</v>
      </c>
      <c r="X126" s="97">
        <f ca="1">IF(AND(W126="",Y126="")=TRUE,"",IF(AND(W126&gt;0,Y126="")=TRUE,NETWORKDAYS(W126,TODAY(),Holidays),NETWORKDAYS(W126,Y126,Holidays)))</f>
        <v>5</v>
      </c>
      <c r="Y126" s="138">
        <f>IF(MAX(Y127:Y128)=0,"",MAX(Y127:Y128))</f>
        <v>45247</v>
      </c>
      <c r="Z126" s="96" t="str">
        <f>IF(MIN(Z127:Z128)=0,"",MIN(Z127:Z128))</f>
        <v/>
      </c>
      <c r="AA126" s="97" t="str">
        <f t="shared" ref="AA126:AA127" ca="1" si="129">IF(AND(Z126="",AB126="")=TRUE,"",IF(AND(Z126&gt;0,AB126="")=TRUE,NETWORKDAYS(Z126,TODAY(),Holidays),NETWORKDAYS(Z126,AB126,Holidays)))</f>
        <v/>
      </c>
      <c r="AB126" s="98" t="str">
        <f>IF(MAX(AB127:AB128)=0,"",MAX(AB127:AB128))</f>
        <v/>
      </c>
      <c r="AC126" s="99">
        <f>IFERROR(AVERAGE(AC127:AC128),"")</f>
        <v>0</v>
      </c>
      <c r="AD126" s="100" t="str">
        <f t="shared" ref="AD126:AD128" si="130">IF(AC126=100%,"Completed",IF(AND(AC126&lt;100%,AC126&gt;0%)=TRUE,"In-Progress","Open"))</f>
        <v>Open</v>
      </c>
      <c r="AE126" s="101"/>
      <c r="AF126" s="80"/>
      <c r="AG126" s="81"/>
      <c r="AH126" s="81"/>
      <c r="AI126" s="81"/>
      <c r="AJ126" s="81"/>
      <c r="AK126" s="81"/>
      <c r="AL126" s="81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  <c r="BA126" s="81"/>
      <c r="BB126" s="81"/>
      <c r="BC126" s="81"/>
      <c r="BD126" s="81"/>
      <c r="BE126" s="81"/>
      <c r="BF126" s="81"/>
      <c r="BG126" s="81"/>
      <c r="BH126" s="81"/>
      <c r="BI126" s="81"/>
      <c r="BJ126" s="81"/>
      <c r="BK126" s="81"/>
      <c r="BL126" s="81"/>
      <c r="BM126" s="81"/>
      <c r="BN126" s="81"/>
      <c r="BO126" s="81"/>
      <c r="BP126" s="81"/>
      <c r="BQ126" s="81"/>
      <c r="BR126" s="81"/>
      <c r="BS126" s="81"/>
      <c r="BT126" s="81"/>
      <c r="BU126" s="81"/>
      <c r="BV126" s="81"/>
      <c r="BW126" s="81"/>
      <c r="BX126" s="81"/>
      <c r="BY126" s="81"/>
      <c r="BZ126" s="81"/>
      <c r="CA126" s="81"/>
      <c r="CB126" s="81"/>
      <c r="CC126" s="81"/>
      <c r="CD126" s="81"/>
      <c r="CE126" s="81"/>
      <c r="CF126" s="81"/>
      <c r="CG126" s="81"/>
      <c r="CH126" s="81"/>
      <c r="CI126" s="81"/>
      <c r="CJ126" s="81"/>
      <c r="CK126" s="81"/>
      <c r="CL126" s="81"/>
      <c r="CM126" s="81"/>
      <c r="CN126" s="81"/>
      <c r="CO126" s="81"/>
      <c r="CP126" s="81"/>
      <c r="CQ126" s="81"/>
      <c r="CR126" s="81"/>
      <c r="CS126" s="81"/>
      <c r="CT126" s="81"/>
      <c r="CU126" s="81"/>
      <c r="CV126" s="81"/>
      <c r="CW126" s="81"/>
      <c r="CX126" s="81"/>
      <c r="CY126" s="81"/>
      <c r="CZ126" s="81"/>
      <c r="DA126" s="81"/>
      <c r="DB126" s="81"/>
      <c r="DC126" s="81"/>
      <c r="DD126" s="81"/>
      <c r="DE126" s="81"/>
      <c r="DF126" s="81"/>
      <c r="DG126" s="81"/>
      <c r="DH126" s="81"/>
      <c r="DI126" s="81"/>
      <c r="DJ126" s="81"/>
      <c r="DK126" s="81"/>
      <c r="DL126" s="81"/>
      <c r="DM126" s="81"/>
      <c r="DN126" s="81"/>
      <c r="DO126" s="81"/>
      <c r="DP126" s="81"/>
      <c r="DQ126" s="81"/>
      <c r="DR126" s="81"/>
      <c r="DS126" s="81"/>
      <c r="DT126" s="81"/>
      <c r="DU126" s="81"/>
      <c r="DV126" s="81"/>
      <c r="DW126" s="81"/>
      <c r="DX126" s="81"/>
      <c r="DY126" s="81"/>
      <c r="DZ126" s="81"/>
      <c r="EA126" s="81"/>
      <c r="EB126" s="81"/>
    </row>
    <row r="127" spans="2:132" ht="17.100000000000001" customHeight="1">
      <c r="B127" s="58">
        <v>4</v>
      </c>
      <c r="C127" s="58" t="s">
        <v>658</v>
      </c>
      <c r="D127" s="59"/>
      <c r="E127" s="60"/>
      <c r="F127" s="60"/>
      <c r="G127" s="60" t="s">
        <v>943</v>
      </c>
      <c r="H127" s="62"/>
      <c r="I127" s="123"/>
      <c r="J127" s="61"/>
      <c r="K127" s="61"/>
      <c r="L127" s="145"/>
      <c r="M127" s="123"/>
      <c r="N127" s="145" t="s">
        <v>836</v>
      </c>
      <c r="O127" s="145" t="s">
        <v>836</v>
      </c>
      <c r="P127" s="61"/>
      <c r="Q127" s="61"/>
      <c r="R127" s="61"/>
      <c r="S127" s="61"/>
      <c r="T127" s="61"/>
      <c r="U127" s="61"/>
      <c r="V127" s="63"/>
      <c r="W127" s="64">
        <v>45243</v>
      </c>
      <c r="X127" s="61">
        <v>5</v>
      </c>
      <c r="Y127" s="140">
        <f t="shared" ref="Y127:Y128" si="131">IF(AND(W127="",X127="")=TRUE,"",WORKDAY(W127,X127-1,Holidays))</f>
        <v>45247</v>
      </c>
      <c r="Z127" s="64"/>
      <c r="AA127" s="126" t="str">
        <f t="shared" ca="1" si="129"/>
        <v/>
      </c>
      <c r="AB127" s="65"/>
      <c r="AC127" s="66">
        <v>0</v>
      </c>
      <c r="AD127" s="125" t="str">
        <f t="shared" si="130"/>
        <v>Open</v>
      </c>
      <c r="AE127" s="150"/>
      <c r="AF127" s="80"/>
      <c r="AG127" s="81"/>
      <c r="AH127" s="81"/>
      <c r="AI127" s="81"/>
      <c r="AJ127" s="81"/>
      <c r="AK127" s="81"/>
      <c r="AL127" s="81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  <c r="BA127" s="81"/>
      <c r="BB127" s="81"/>
      <c r="BC127" s="81"/>
      <c r="BD127" s="81"/>
      <c r="BE127" s="81"/>
      <c r="BF127" s="81"/>
      <c r="BG127" s="81"/>
      <c r="BH127" s="81"/>
      <c r="BI127" s="81"/>
      <c r="BJ127" s="81"/>
      <c r="BK127" s="81"/>
      <c r="BL127" s="81"/>
      <c r="BM127" s="81"/>
      <c r="BN127" s="81"/>
      <c r="BO127" s="81"/>
      <c r="BP127" s="81"/>
      <c r="BQ127" s="81"/>
      <c r="BR127" s="81"/>
      <c r="BS127" s="81"/>
      <c r="BT127" s="81"/>
      <c r="BU127" s="81"/>
      <c r="BV127" s="81"/>
      <c r="BW127" s="81"/>
      <c r="BX127" s="81"/>
      <c r="BY127" s="81"/>
      <c r="BZ127" s="81"/>
      <c r="CA127" s="81"/>
      <c r="CB127" s="81"/>
      <c r="CC127" s="81"/>
      <c r="CD127" s="81"/>
      <c r="CE127" s="81"/>
      <c r="CF127" s="81"/>
      <c r="CG127" s="81"/>
      <c r="CH127" s="81"/>
      <c r="CI127" s="81"/>
      <c r="CJ127" s="81"/>
      <c r="CK127" s="81"/>
      <c r="CL127" s="81"/>
      <c r="CM127" s="81"/>
      <c r="CN127" s="81"/>
      <c r="CO127" s="81"/>
      <c r="CP127" s="81"/>
      <c r="CQ127" s="81"/>
      <c r="CR127" s="81"/>
      <c r="CS127" s="81"/>
      <c r="CT127" s="81"/>
      <c r="CU127" s="81"/>
      <c r="CV127" s="81"/>
      <c r="CW127" s="81"/>
      <c r="CX127" s="81"/>
      <c r="CY127" s="81"/>
      <c r="CZ127" s="81"/>
      <c r="DA127" s="81"/>
      <c r="DB127" s="81"/>
      <c r="DC127" s="81"/>
      <c r="DD127" s="81"/>
      <c r="DE127" s="81"/>
      <c r="DF127" s="81"/>
      <c r="DG127" s="81"/>
      <c r="DH127" s="81"/>
      <c r="DI127" s="81"/>
      <c r="DJ127" s="81"/>
      <c r="DK127" s="81"/>
      <c r="DL127" s="81"/>
      <c r="DM127" s="81"/>
      <c r="DN127" s="81"/>
      <c r="DO127" s="81"/>
      <c r="DP127" s="81"/>
      <c r="DQ127" s="81"/>
      <c r="DR127" s="81"/>
      <c r="DS127" s="81"/>
      <c r="DT127" s="81"/>
      <c r="DU127" s="81"/>
      <c r="DV127" s="81"/>
      <c r="DW127" s="81"/>
      <c r="DX127" s="81"/>
      <c r="DY127" s="81"/>
      <c r="DZ127" s="81"/>
      <c r="EA127" s="81"/>
      <c r="EB127" s="81"/>
    </row>
    <row r="128" spans="2:132" ht="17.100000000000001" customHeight="1">
      <c r="B128" s="58">
        <v>4</v>
      </c>
      <c r="C128" s="58" t="s">
        <v>658</v>
      </c>
      <c r="D128" s="59"/>
      <c r="E128" s="60"/>
      <c r="F128" s="60"/>
      <c r="G128" s="60" t="s">
        <v>944</v>
      </c>
      <c r="H128" s="62"/>
      <c r="I128" s="123"/>
      <c r="J128" s="61"/>
      <c r="K128" s="61"/>
      <c r="L128" s="145"/>
      <c r="M128" s="123"/>
      <c r="N128" s="145" t="s">
        <v>836</v>
      </c>
      <c r="O128" s="145" t="s">
        <v>836</v>
      </c>
      <c r="P128" s="61"/>
      <c r="Q128" s="61"/>
      <c r="R128" s="61"/>
      <c r="S128" s="61"/>
      <c r="T128" s="61"/>
      <c r="U128" s="61"/>
      <c r="V128" s="63"/>
      <c r="W128" s="64">
        <v>45243</v>
      </c>
      <c r="X128" s="61">
        <v>5</v>
      </c>
      <c r="Y128" s="140">
        <f t="shared" si="131"/>
        <v>45247</v>
      </c>
      <c r="Z128" s="64"/>
      <c r="AA128" s="126"/>
      <c r="AB128" s="65"/>
      <c r="AC128" s="66">
        <v>0</v>
      </c>
      <c r="AD128" s="125" t="str">
        <f t="shared" si="130"/>
        <v>Open</v>
      </c>
      <c r="AE128" s="150"/>
      <c r="AF128" s="80"/>
      <c r="AG128" s="81"/>
      <c r="AH128" s="81"/>
      <c r="AI128" s="81"/>
      <c r="AJ128" s="81"/>
      <c r="AK128" s="81"/>
      <c r="AL128" s="81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  <c r="BA128" s="81"/>
      <c r="BB128" s="81"/>
      <c r="BC128" s="81"/>
      <c r="BD128" s="81"/>
      <c r="BE128" s="81"/>
      <c r="BF128" s="81"/>
      <c r="BG128" s="81"/>
      <c r="BH128" s="81"/>
      <c r="BI128" s="81"/>
      <c r="BJ128" s="81"/>
      <c r="BK128" s="81"/>
      <c r="BL128" s="81"/>
      <c r="BM128" s="81"/>
      <c r="BN128" s="81"/>
      <c r="BO128" s="81"/>
      <c r="BP128" s="81"/>
      <c r="BQ128" s="81"/>
      <c r="BR128" s="81"/>
      <c r="BS128" s="81"/>
      <c r="BT128" s="81"/>
      <c r="BU128" s="81"/>
      <c r="BV128" s="81"/>
      <c r="BW128" s="81"/>
      <c r="BX128" s="81"/>
      <c r="BY128" s="81"/>
      <c r="BZ128" s="81"/>
      <c r="CA128" s="81"/>
      <c r="CB128" s="81"/>
      <c r="CC128" s="81"/>
      <c r="CD128" s="81"/>
      <c r="CE128" s="81"/>
      <c r="CF128" s="81"/>
      <c r="CG128" s="81"/>
      <c r="CH128" s="81"/>
      <c r="CI128" s="81"/>
      <c r="CJ128" s="81"/>
      <c r="CK128" s="81"/>
      <c r="CL128" s="81"/>
      <c r="CM128" s="81"/>
      <c r="CN128" s="81"/>
      <c r="CO128" s="81"/>
      <c r="CP128" s="81"/>
      <c r="CQ128" s="81"/>
      <c r="CR128" s="81"/>
      <c r="CS128" s="81"/>
      <c r="CT128" s="81"/>
      <c r="CU128" s="81"/>
      <c r="CV128" s="81"/>
      <c r="CW128" s="81"/>
      <c r="CX128" s="81"/>
      <c r="CY128" s="81"/>
      <c r="CZ128" s="81"/>
      <c r="DA128" s="81"/>
      <c r="DB128" s="81"/>
      <c r="DC128" s="81"/>
      <c r="DD128" s="81"/>
      <c r="DE128" s="81"/>
      <c r="DF128" s="81"/>
      <c r="DG128" s="81"/>
      <c r="DH128" s="81"/>
      <c r="DI128" s="81"/>
      <c r="DJ128" s="81"/>
      <c r="DK128" s="81"/>
      <c r="DL128" s="81"/>
      <c r="DM128" s="81"/>
      <c r="DN128" s="81"/>
      <c r="DO128" s="81"/>
      <c r="DP128" s="81"/>
      <c r="DQ128" s="81"/>
      <c r="DR128" s="81"/>
      <c r="DS128" s="81"/>
      <c r="DT128" s="81"/>
      <c r="DU128" s="81"/>
      <c r="DV128" s="81"/>
      <c r="DW128" s="81"/>
      <c r="DX128" s="81"/>
      <c r="DY128" s="81"/>
      <c r="DZ128" s="81"/>
      <c r="EA128" s="81"/>
      <c r="EB128" s="81"/>
    </row>
  </sheetData>
  <autoFilter ref="B16:EB128" xr:uid="{D16318C2-5D9E-41CD-AB0A-B2452FA6D985}"/>
  <mergeCells count="18">
    <mergeCell ref="W9:X9"/>
    <mergeCell ref="W10:W13"/>
    <mergeCell ref="W8:Y8"/>
    <mergeCell ref="AE15:AE16"/>
    <mergeCell ref="B15:H15"/>
    <mergeCell ref="M15:V15"/>
    <mergeCell ref="B12:C13"/>
    <mergeCell ref="D12:G13"/>
    <mergeCell ref="W15:Y15"/>
    <mergeCell ref="Z15:AB15"/>
    <mergeCell ref="AC15:AD15"/>
    <mergeCell ref="B2:H2"/>
    <mergeCell ref="D10:G10"/>
    <mergeCell ref="D11:G11"/>
    <mergeCell ref="B10:C10"/>
    <mergeCell ref="B11:C11"/>
    <mergeCell ref="H10:H11"/>
    <mergeCell ref="B8:H9"/>
  </mergeCells>
  <phoneticPr fontId="1" type="noConversion"/>
  <conditionalFormatting sqref="AF15:EB16">
    <cfRule type="expression" dxfId="13" priority="266">
      <formula>AF$15=period_selected</formula>
    </cfRule>
  </conditionalFormatting>
  <conditionalFormatting sqref="AF17:EB128">
    <cfRule type="expression" dxfId="12" priority="259">
      <formula>완료율</formula>
    </cfRule>
    <cfRule type="expression" dxfId="11" priority="261">
      <formula>PercentCompleteBeyond</formula>
    </cfRule>
    <cfRule type="expression" dxfId="10" priority="262">
      <formula>실제</formula>
    </cfRule>
    <cfRule type="expression" dxfId="9" priority="263">
      <formula>ActualBeyond</formula>
    </cfRule>
    <cfRule type="expression" dxfId="8" priority="264">
      <formula>계획</formula>
    </cfRule>
    <cfRule type="expression" dxfId="7" priority="265">
      <formula>AF$16=period_selected</formula>
    </cfRule>
  </conditionalFormatting>
  <conditionalFormatting sqref="AD1:AD1048576">
    <cfRule type="iconSet" priority="255">
      <iconSet iconSet="3Flags">
        <cfvo type="percent" val="0"/>
        <cfvo type="percent" val="33"/>
        <cfvo type="percent" val="67"/>
      </iconSet>
    </cfRule>
  </conditionalFormatting>
  <conditionalFormatting sqref="AC1:AC7 AC14:AC1048576">
    <cfRule type="iconSet" priority="254">
      <iconSet iconSet="3Symbols">
        <cfvo type="percent" val="0"/>
        <cfvo type="percent" val="0" gte="0"/>
        <cfvo type="percent" val="100"/>
      </iconSet>
    </cfRule>
  </conditionalFormatting>
  <conditionalFormatting sqref="Y9">
    <cfRule type="iconSet" priority="267">
      <iconSet>
        <cfvo type="percent" val="0"/>
        <cfvo type="num" val="0.4"/>
        <cfvo type="num" val="0.7"/>
      </iconSet>
    </cfRule>
  </conditionalFormatting>
  <dataValidations xWindow="571" yWindow="495" count="2">
    <dataValidation allowBlank="1" showInputMessage="1" showErrorMessage="1" prompt="H2 셀에서 강조 표시할 기간을 선택합니다. 차트 범례는 J2~AI2에 있습니다." sqref="AS5:BE14 AF12:AR14 AA14:AB14 AS4:EB4" xr:uid="{33ED9571-4F2C-4FF7-B6DD-EF65D2577E49}"/>
    <dataValidation type="list" allowBlank="1" showInputMessage="1" showErrorMessage="1" sqref="D12:G13" xr:uid="{6458411B-D0A3-41C5-8343-E3DDC72EBCEF}">
      <formula1>WorkingDays</formula1>
    </dataValidation>
  </dataValidations>
  <printOptions horizontalCentered="1"/>
  <pageMargins left="0.45" right="0.45" top="0.5" bottom="0.5" header="0.3" footer="0.3"/>
  <pageSetup paperSize="9" scale="32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단추3_Click">
                <anchor moveWithCells="1" sizeWithCells="1">
                  <from>
                    <xdr:col>1</xdr:col>
                    <xdr:colOff>28575</xdr:colOff>
                    <xdr:row>2</xdr:row>
                    <xdr:rowOff>28575</xdr:rowOff>
                  </from>
                  <to>
                    <xdr:col>2</xdr:col>
                    <xdr:colOff>257175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71" yWindow="495" count="2">
        <x14:dataValidation type="list" allowBlank="1" showDropDown="1" showInputMessage="1" showErrorMessage="1" xr:uid="{5246B4C6-08F0-41FA-9CC7-6323CBCF75AC}">
          <x14:formula1>
            <xm:f>Table_CalendarWD!$B$5:$B$114</xm:f>
          </x14:formula1>
          <xm:sqref>W1:W19 W58:W1048576 W21:W56</xm:sqref>
        </x14:dataValidation>
        <x14:dataValidation type="list" allowBlank="1" showDropDown="1" showInputMessage="1" showErrorMessage="1" errorTitle="작업 일자 입력 오류" error="입력하시는 날짜는 휴일에 해당하므로 날짜를 다시 확인 후 입력하시기 바랍니다" promptTitle="Working Day(평일) 미입력시 경고메시지 발생" xr:uid="{A2F1186A-E69E-47BF-947E-BB05DC828111}">
          <x14:formula1>
            <xm:f>Table_CalendarWD!$B$5:$B$114</xm:f>
          </x14:formula1>
          <xm:sqref>W20 W57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BD957-C650-4D36-B243-AA7EAF87FD4A}">
  <sheetPr codeName="Sheet11">
    <tabColor theme="7"/>
    <outlinePr summaryBelow="0" summaryRight="0"/>
    <pageSetUpPr fitToPage="1"/>
  </sheetPr>
  <dimension ref="B1:EA128"/>
  <sheetViews>
    <sheetView showGridLines="0" tabSelected="1" topLeftCell="A12" zoomScale="115" zoomScaleNormal="115" zoomScaleSheetLayoutView="80" workbookViewId="0">
      <selection activeCell="G21" sqref="G21"/>
    </sheetView>
  </sheetViews>
  <sheetFormatPr defaultColWidth="4.7109375" defaultRowHeight="17.100000000000001" customHeight="1" outlineLevelCol="1"/>
  <cols>
    <col min="1" max="1" width="2.7109375" style="35" customWidth="1"/>
    <col min="2" max="3" width="9.7109375" style="39" customWidth="1"/>
    <col min="4" max="7" width="5.7109375" style="40" customWidth="1"/>
    <col min="8" max="8" width="65.85546875" style="40" customWidth="1" collapsed="1"/>
    <col min="9" max="21" width="11" style="41" hidden="1" customWidth="1" outlineLevel="1"/>
    <col min="22" max="22" width="17.7109375" style="38" customWidth="1"/>
    <col min="23" max="23" width="17.7109375" style="35" customWidth="1"/>
    <col min="24" max="24" width="17.7109375" style="38" customWidth="1"/>
    <col min="25" max="25" width="17.7109375" style="38" customWidth="1" outlineLevel="1"/>
    <col min="26" max="26" width="17.7109375" style="35" customWidth="1" outlineLevel="1"/>
    <col min="27" max="27" width="17.7109375" style="38" customWidth="1" outlineLevel="1"/>
    <col min="28" max="29" width="17.85546875" style="42" customWidth="1"/>
    <col min="30" max="30" width="69.5703125" style="155" customWidth="1"/>
    <col min="31" max="131" width="5.7109375" style="67" customWidth="1" outlineLevel="1"/>
    <col min="132" max="16384" width="4.7109375" style="35"/>
  </cols>
  <sheetData>
    <row r="1" spans="2:131" ht="9.9499999999999993" customHeight="1">
      <c r="B1" s="35"/>
      <c r="C1" s="35"/>
      <c r="D1" s="35"/>
      <c r="E1" s="35"/>
      <c r="F1" s="35"/>
      <c r="G1" s="35"/>
      <c r="H1" s="35"/>
      <c r="V1" s="41"/>
      <c r="W1" s="41"/>
      <c r="X1" s="41"/>
      <c r="AD1" s="42"/>
    </row>
    <row r="2" spans="2:131" s="50" customFormat="1" ht="30.2" customHeight="1">
      <c r="B2" s="170" t="s">
        <v>805</v>
      </c>
      <c r="C2" s="170"/>
      <c r="D2" s="170"/>
      <c r="E2" s="170"/>
      <c r="F2" s="170"/>
      <c r="G2" s="170"/>
      <c r="H2" s="170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2"/>
      <c r="AA2" s="52"/>
      <c r="AB2" s="53"/>
      <c r="AC2" s="53"/>
      <c r="AD2" s="53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</row>
    <row r="3" spans="2:131" ht="5.0999999999999996" customHeight="1">
      <c r="B3" s="35"/>
      <c r="C3" s="35"/>
      <c r="D3" s="35"/>
      <c r="E3" s="35"/>
      <c r="F3" s="35"/>
      <c r="G3" s="35"/>
      <c r="H3" s="35"/>
      <c r="V3" s="41"/>
      <c r="W3" s="41"/>
      <c r="X3" s="41"/>
      <c r="AD3" s="42"/>
    </row>
    <row r="4" spans="2:131" ht="21.2" customHeight="1">
      <c r="N4" s="35"/>
      <c r="O4" s="35"/>
      <c r="P4" s="35"/>
      <c r="Q4" s="35"/>
      <c r="R4" s="35"/>
      <c r="S4" s="35"/>
      <c r="V4" s="41"/>
      <c r="W4" s="41"/>
      <c r="X4" s="41"/>
      <c r="Y4" s="35"/>
      <c r="AA4" s="41"/>
      <c r="AB4" s="41"/>
      <c r="AC4" s="57"/>
      <c r="AD4" s="54" t="str">
        <f>Table_Developer!B15</f>
        <v/>
      </c>
      <c r="AE4" s="124"/>
      <c r="AF4" s="122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/>
      <c r="BK4" s="69"/>
      <c r="BL4" s="69"/>
      <c r="BM4" s="69"/>
      <c r="BN4" s="69"/>
      <c r="BO4" s="69"/>
      <c r="BP4" s="69"/>
      <c r="BQ4" s="69"/>
      <c r="BR4" s="69"/>
      <c r="BS4" s="69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  <c r="DE4" s="69"/>
      <c r="DF4" s="69"/>
      <c r="DG4" s="69"/>
      <c r="DH4" s="69"/>
      <c r="DI4" s="69"/>
      <c r="DJ4" s="69"/>
      <c r="DK4" s="69"/>
      <c r="DL4" s="69"/>
      <c r="DM4" s="69"/>
      <c r="DN4" s="69"/>
      <c r="DO4" s="69"/>
      <c r="DP4" s="69"/>
      <c r="DQ4" s="69"/>
      <c r="DR4" s="69"/>
      <c r="DS4" s="69"/>
      <c r="DT4" s="69"/>
      <c r="DU4" s="69"/>
      <c r="DV4" s="69"/>
      <c r="DW4" s="69"/>
      <c r="DX4" s="69"/>
      <c r="DY4" s="69"/>
      <c r="DZ4" s="69"/>
      <c r="EA4" s="69"/>
    </row>
    <row r="5" spans="2:131" ht="21.2" customHeight="1">
      <c r="V5" s="41"/>
      <c r="W5" s="41"/>
      <c r="X5" s="41"/>
      <c r="Y5" s="41"/>
      <c r="Z5" s="41"/>
      <c r="AA5" s="41"/>
      <c r="AB5" s="41"/>
      <c r="AC5" s="57"/>
      <c r="AD5" s="55" t="str">
        <f>Table_Developer!B14</f>
        <v/>
      </c>
      <c r="AE5" s="70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</row>
    <row r="6" spans="2:131" ht="21.2" customHeight="1">
      <c r="V6" s="41"/>
      <c r="W6" s="41"/>
      <c r="X6" s="41"/>
      <c r="Y6" s="41"/>
      <c r="Z6" s="41"/>
      <c r="AA6" s="41"/>
      <c r="AB6" s="41"/>
      <c r="AC6" s="57"/>
      <c r="AD6" s="55" t="str">
        <f>Table_Developer!B13</f>
        <v/>
      </c>
      <c r="AE6" s="70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</row>
    <row r="7" spans="2:131" ht="21.2" customHeight="1" thickBot="1">
      <c r="V7" s="41"/>
      <c r="W7" s="41"/>
      <c r="X7" s="41"/>
      <c r="Y7" s="41"/>
      <c r="Z7" s="41"/>
      <c r="AA7" s="41"/>
      <c r="AB7" s="41"/>
      <c r="AC7" s="57"/>
      <c r="AD7" s="55" t="str">
        <f>Table_Developer!B12</f>
        <v/>
      </c>
      <c r="AE7" s="70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</row>
    <row r="8" spans="2:131" ht="21.2" customHeight="1" thickBot="1">
      <c r="B8" s="179" t="s">
        <v>806</v>
      </c>
      <c r="C8" s="180"/>
      <c r="D8" s="180"/>
      <c r="E8" s="180"/>
      <c r="F8" s="180"/>
      <c r="G8" s="180"/>
      <c r="H8" s="181"/>
      <c r="V8" s="188" t="s">
        <v>807</v>
      </c>
      <c r="W8" s="189"/>
      <c r="X8" s="190"/>
      <c r="Y8" s="41"/>
      <c r="Z8" s="41"/>
      <c r="AA8" s="41"/>
      <c r="AB8" s="41"/>
      <c r="AC8" s="57"/>
      <c r="AD8" s="55" t="str">
        <f>Table_Developer!B11</f>
        <v/>
      </c>
      <c r="AE8" s="70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</row>
    <row r="9" spans="2:131" ht="21.2" customHeight="1" thickTop="1" thickBot="1">
      <c r="B9" s="182"/>
      <c r="C9" s="183"/>
      <c r="D9" s="183"/>
      <c r="E9" s="183"/>
      <c r="F9" s="183"/>
      <c r="G9" s="183"/>
      <c r="H9" s="184"/>
      <c r="V9" s="185" t="s">
        <v>808</v>
      </c>
      <c r="W9" s="186"/>
      <c r="X9" s="130">
        <f>AVERAGE($AB$17:$AB$128)</f>
        <v>1</v>
      </c>
      <c r="Y9" s="41"/>
      <c r="Z9" s="41"/>
      <c r="AA9" s="41"/>
      <c r="AB9" s="41"/>
      <c r="AC9" s="57"/>
      <c r="AD9" s="55" t="str">
        <f>Table_Developer!B10</f>
        <v/>
      </c>
      <c r="AE9" s="70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</row>
    <row r="10" spans="2:131" ht="21.2" customHeight="1">
      <c r="B10" s="173" t="s">
        <v>809</v>
      </c>
      <c r="C10" s="174"/>
      <c r="D10" s="171" t="str" cm="1">
        <f t="array" ref="D10">Table_Project[프로젝트_시작일자]</f>
        <v>2023-06-12</v>
      </c>
      <c r="E10" s="171"/>
      <c r="F10" s="171"/>
      <c r="G10" s="171"/>
      <c r="H10" s="177">
        <f>NETWORKDAYS($D$10,$D$11,Holidays)</f>
        <v>85</v>
      </c>
      <c r="V10" s="173" t="s">
        <v>810</v>
      </c>
      <c r="W10" s="131" t="s">
        <v>811</v>
      </c>
      <c r="X10" s="129">
        <f>SUM(X11:X13)</f>
        <v>79</v>
      </c>
      <c r="Y10" s="41"/>
      <c r="Z10" s="41"/>
      <c r="AA10" s="41"/>
      <c r="AB10" s="41"/>
      <c r="AC10" s="57"/>
      <c r="AD10" s="55"/>
      <c r="AE10" s="70"/>
      <c r="AF10" s="71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</row>
    <row r="11" spans="2:131" ht="21.2" customHeight="1">
      <c r="B11" s="175" t="s">
        <v>812</v>
      </c>
      <c r="C11" s="176"/>
      <c r="D11" s="172" cm="1">
        <f t="array" ref="D11">Table_Project[프로젝트_종료일자]</f>
        <v>45212</v>
      </c>
      <c r="E11" s="172"/>
      <c r="F11" s="172"/>
      <c r="G11" s="172"/>
      <c r="H11" s="178"/>
      <c r="V11" s="175"/>
      <c r="W11" s="132" t="s">
        <v>813</v>
      </c>
      <c r="X11" s="127">
        <f>COUNTIFS($C$17:$C$1048576,"Y",$AC$17:$AC$1048576,$W$11)</f>
        <v>79</v>
      </c>
      <c r="Y11" s="41"/>
      <c r="Z11" s="41"/>
      <c r="AA11" s="41"/>
      <c r="AB11" s="41"/>
      <c r="AC11" s="57"/>
      <c r="AD11" s="55" t="str">
        <f>Table_Developer!B7</f>
        <v>김병준 선임</v>
      </c>
      <c r="AE11" s="70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</row>
    <row r="12" spans="2:131" ht="21.2" customHeight="1">
      <c r="B12" s="175" t="s">
        <v>814</v>
      </c>
      <c r="C12" s="176"/>
      <c r="D12" s="172">
        <f ca="1">TODAY()</f>
        <v>45447</v>
      </c>
      <c r="E12" s="172"/>
      <c r="F12" s="172"/>
      <c r="G12" s="172"/>
      <c r="H12" s="134">
        <f ca="1">NETWORKDAYS($D$10,$D$12,Holidays)</f>
        <v>252</v>
      </c>
      <c r="V12" s="175"/>
      <c r="W12" s="132" t="s">
        <v>815</v>
      </c>
      <c r="X12" s="127">
        <f>COUNTIFS($C$17:$C$1048576,"Y",$AC$17:$AC$1048576,$W$12)</f>
        <v>0</v>
      </c>
      <c r="Y12" s="41"/>
      <c r="Z12" s="41"/>
      <c r="AA12" s="41"/>
      <c r="AB12" s="41"/>
      <c r="AC12" s="57"/>
      <c r="AD12" s="55" t="str">
        <f>Table_Developer!B6</f>
        <v>신유지 선임</v>
      </c>
      <c r="AE12" s="74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</row>
    <row r="13" spans="2:131" ht="21.2" customHeight="1" thickBot="1">
      <c r="B13" s="187"/>
      <c r="C13" s="198"/>
      <c r="D13" s="199"/>
      <c r="E13" s="199"/>
      <c r="F13" s="199"/>
      <c r="G13" s="199"/>
      <c r="H13" s="135">
        <f ca="1">$H$10-$H$12</f>
        <v>-167</v>
      </c>
      <c r="V13" s="187"/>
      <c r="W13" s="133" t="s">
        <v>816</v>
      </c>
      <c r="X13" s="128">
        <f>COUNTIFS($C$17:$C$1048576,"Y",$AC$17:$AC$1048576,$W$13)</f>
        <v>0</v>
      </c>
      <c r="Y13" s="41"/>
      <c r="Z13" s="41"/>
      <c r="AA13" s="41"/>
      <c r="AB13" s="41"/>
      <c r="AC13" s="57"/>
      <c r="AD13" s="56" t="str">
        <f>Table_Developer!B5</f>
        <v>정진우 수석</v>
      </c>
      <c r="AE13" s="75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  <c r="CY13" s="77"/>
      <c r="CZ13" s="77"/>
      <c r="DA13" s="77"/>
      <c r="DB13" s="77"/>
      <c r="DC13" s="77"/>
      <c r="DD13" s="77"/>
      <c r="DE13" s="77"/>
      <c r="DF13" s="77"/>
      <c r="DG13" s="77"/>
      <c r="DH13" s="77"/>
      <c r="DI13" s="77"/>
      <c r="DJ13" s="77"/>
      <c r="DK13" s="77"/>
      <c r="DL13" s="77"/>
      <c r="DM13" s="77"/>
      <c r="DN13" s="77"/>
      <c r="DO13" s="77"/>
      <c r="DP13" s="77"/>
      <c r="DQ13" s="77"/>
      <c r="DR13" s="77"/>
      <c r="DS13" s="77"/>
      <c r="DT13" s="77"/>
      <c r="DU13" s="77"/>
      <c r="DV13" s="77"/>
      <c r="DW13" s="77"/>
      <c r="DX13" s="77"/>
      <c r="DY13" s="77"/>
      <c r="DZ13" s="77"/>
      <c r="EA13" s="77"/>
    </row>
    <row r="14" spans="2:131" ht="5.0999999999999996" customHeight="1">
      <c r="B14" s="41"/>
      <c r="C14" s="41"/>
      <c r="D14" s="41"/>
      <c r="E14" s="41"/>
      <c r="F14" s="41"/>
      <c r="G14" s="41"/>
      <c r="H14" s="41"/>
      <c r="V14" s="41"/>
      <c r="W14" s="41"/>
      <c r="X14" s="41"/>
      <c r="Y14" s="41"/>
      <c r="Z14" s="43"/>
      <c r="AA14" s="44"/>
      <c r="AB14" s="41"/>
      <c r="AC14" s="41"/>
      <c r="AD14" s="49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</row>
    <row r="15" spans="2:131" s="36" customFormat="1" ht="25.15" customHeight="1">
      <c r="B15" s="193" t="s">
        <v>817</v>
      </c>
      <c r="C15" s="193"/>
      <c r="D15" s="193"/>
      <c r="E15" s="193"/>
      <c r="F15" s="193"/>
      <c r="G15" s="193"/>
      <c r="H15" s="194"/>
      <c r="I15" s="149"/>
      <c r="J15" s="149"/>
      <c r="K15" s="149"/>
      <c r="L15" s="195" t="s">
        <v>636</v>
      </c>
      <c r="M15" s="196"/>
      <c r="N15" s="196"/>
      <c r="O15" s="196"/>
      <c r="P15" s="196"/>
      <c r="Q15" s="196"/>
      <c r="R15" s="196"/>
      <c r="S15" s="196"/>
      <c r="T15" s="196"/>
      <c r="U15" s="197"/>
      <c r="V15" s="195" t="s">
        <v>818</v>
      </c>
      <c r="W15" s="196"/>
      <c r="X15" s="197"/>
      <c r="Y15" s="195" t="s">
        <v>819</v>
      </c>
      <c r="Z15" s="196"/>
      <c r="AA15" s="197"/>
      <c r="AB15" s="200" t="s">
        <v>639</v>
      </c>
      <c r="AC15" s="201"/>
      <c r="AD15" s="191" t="s">
        <v>820</v>
      </c>
      <c r="AE15" s="102" t="e" cm="1" vm="1">
        <f t="array" aca="1" ref="AE15" ca="1">INDEX(Table_CalendarWD[프로젝트일자],COLUMN()-31,1)</f>
        <v>#VALUE!</v>
      </c>
      <c r="AF15" s="103" cm="1">
        <f t="array" ref="AF15">INDEX(Table_CalendarWD[프로젝트일자],COLUMN()-31,1)</f>
        <v>45089</v>
      </c>
      <c r="AG15" s="103" cm="1">
        <f t="array" ref="AG15">INDEX(Table_CalendarWD[프로젝트일자],COLUMN()-31,1)</f>
        <v>45090</v>
      </c>
      <c r="AH15" s="103" cm="1">
        <f t="array" ref="AH15">INDEX(Table_CalendarWD[프로젝트일자],COLUMN()-31,1)</f>
        <v>45091</v>
      </c>
      <c r="AI15" s="103" cm="1">
        <f t="array" ref="AI15">INDEX(Table_CalendarWD[프로젝트일자],COLUMN()-31,1)</f>
        <v>45092</v>
      </c>
      <c r="AJ15" s="103" cm="1">
        <f t="array" ref="AJ15">INDEX(Table_CalendarWD[프로젝트일자],COLUMN()-31,1)</f>
        <v>45093</v>
      </c>
      <c r="AK15" s="103" cm="1">
        <f t="array" ref="AK15">INDEX(Table_CalendarWD[프로젝트일자],COLUMN()-31,1)</f>
        <v>45096</v>
      </c>
      <c r="AL15" s="103" cm="1">
        <f t="array" ref="AL15">INDEX(Table_CalendarWD[프로젝트일자],COLUMN()-31,1)</f>
        <v>45097</v>
      </c>
      <c r="AM15" s="103" cm="1">
        <f t="array" ref="AM15">INDEX(Table_CalendarWD[프로젝트일자],COLUMN()-31,1)</f>
        <v>45098</v>
      </c>
      <c r="AN15" s="103" cm="1">
        <f t="array" ref="AN15">INDEX(Table_CalendarWD[프로젝트일자],COLUMN()-31,1)</f>
        <v>45099</v>
      </c>
      <c r="AO15" s="103" cm="1">
        <f t="array" ref="AO15">INDEX(Table_CalendarWD[프로젝트일자],COLUMN()-31,1)</f>
        <v>45100</v>
      </c>
      <c r="AP15" s="103" cm="1">
        <f t="array" ref="AP15">INDEX(Table_CalendarWD[프로젝트일자],COLUMN()-31,1)</f>
        <v>45103</v>
      </c>
      <c r="AQ15" s="103" cm="1">
        <f t="array" ref="AQ15">INDEX(Table_CalendarWD[프로젝트일자],COLUMN()-31,1)</f>
        <v>45104</v>
      </c>
      <c r="AR15" s="103" cm="1">
        <f t="array" ref="AR15">INDEX(Table_CalendarWD[프로젝트일자],COLUMN()-31,1)</f>
        <v>45105</v>
      </c>
      <c r="AS15" s="103" cm="1">
        <f t="array" ref="AS15">INDEX(Table_CalendarWD[프로젝트일자],COLUMN()-31,1)</f>
        <v>45106</v>
      </c>
      <c r="AT15" s="103" cm="1">
        <f t="array" ref="AT15">INDEX(Table_CalendarWD[프로젝트일자],COLUMN()-31,1)</f>
        <v>45107</v>
      </c>
      <c r="AU15" s="103" cm="1">
        <f t="array" ref="AU15">INDEX(Table_CalendarWD[프로젝트일자],COLUMN()-31,1)</f>
        <v>45110</v>
      </c>
      <c r="AV15" s="103" cm="1">
        <f t="array" ref="AV15">INDEX(Table_CalendarWD[프로젝트일자],COLUMN()-31,1)</f>
        <v>45111</v>
      </c>
      <c r="AW15" s="103" cm="1">
        <f t="array" ref="AW15">INDEX(Table_CalendarWD[프로젝트일자],COLUMN()-31,1)</f>
        <v>45112</v>
      </c>
      <c r="AX15" s="103" cm="1">
        <f t="array" ref="AX15">INDEX(Table_CalendarWD[프로젝트일자],COLUMN()-31,1)</f>
        <v>45113</v>
      </c>
      <c r="AY15" s="103" cm="1">
        <f t="array" ref="AY15">INDEX(Table_CalendarWD[프로젝트일자],COLUMN()-31,1)</f>
        <v>45114</v>
      </c>
      <c r="AZ15" s="103" cm="1">
        <f t="array" ref="AZ15">INDEX(Table_CalendarWD[프로젝트일자],COLUMN()-31,1)</f>
        <v>45117</v>
      </c>
      <c r="BA15" s="103" cm="1">
        <f t="array" ref="BA15">INDEX(Table_CalendarWD[프로젝트일자],COLUMN()-31,1)</f>
        <v>45118</v>
      </c>
      <c r="BB15" s="103" cm="1">
        <f t="array" ref="BB15">INDEX(Table_CalendarWD[프로젝트일자],COLUMN()-31,1)</f>
        <v>45119</v>
      </c>
      <c r="BC15" s="103" cm="1">
        <f t="array" ref="BC15">INDEX(Table_CalendarWD[프로젝트일자],COLUMN()-31,1)</f>
        <v>45120</v>
      </c>
      <c r="BD15" s="103" cm="1">
        <f t="array" ref="BD15">INDEX(Table_CalendarWD[프로젝트일자],COLUMN()-31,1)</f>
        <v>45121</v>
      </c>
      <c r="BE15" s="103" cm="1">
        <f t="array" ref="BE15">INDEX(Table_CalendarWD[프로젝트일자],COLUMN()-31,1)</f>
        <v>45124</v>
      </c>
      <c r="BF15" s="103" cm="1">
        <f t="array" ref="BF15">INDEX(Table_CalendarWD[프로젝트일자],COLUMN()-31,1)</f>
        <v>45125</v>
      </c>
      <c r="BG15" s="103" cm="1">
        <f t="array" ref="BG15">INDEX(Table_CalendarWD[프로젝트일자],COLUMN()-31,1)</f>
        <v>45126</v>
      </c>
      <c r="BH15" s="103" cm="1">
        <f t="array" ref="BH15">INDEX(Table_CalendarWD[프로젝트일자],COLUMN()-31,1)</f>
        <v>45127</v>
      </c>
      <c r="BI15" s="103" cm="1">
        <f t="array" ref="BI15">INDEX(Table_CalendarWD[프로젝트일자],COLUMN()-31,1)</f>
        <v>45128</v>
      </c>
      <c r="BJ15" s="103" cm="1">
        <f t="array" ref="BJ15">INDEX(Table_CalendarWD[프로젝트일자],COLUMN()-31,1)</f>
        <v>45131</v>
      </c>
      <c r="BK15" s="103" cm="1">
        <f t="array" ref="BK15">INDEX(Table_CalendarWD[프로젝트일자],COLUMN()-31,1)</f>
        <v>45132</v>
      </c>
      <c r="BL15" s="103" cm="1">
        <f t="array" ref="BL15">INDEX(Table_CalendarWD[프로젝트일자],COLUMN()-31,1)</f>
        <v>45133</v>
      </c>
      <c r="BM15" s="103" cm="1">
        <f t="array" ref="BM15">INDEX(Table_CalendarWD[프로젝트일자],COLUMN()-31,1)</f>
        <v>45134</v>
      </c>
      <c r="BN15" s="103" cm="1">
        <f t="array" ref="BN15">INDEX(Table_CalendarWD[프로젝트일자],COLUMN()-31,1)</f>
        <v>45135</v>
      </c>
      <c r="BO15" s="103" cm="1">
        <f t="array" ref="BO15">INDEX(Table_CalendarWD[프로젝트일자],COLUMN()-31,1)</f>
        <v>45138</v>
      </c>
      <c r="BP15" s="103" cm="1">
        <f t="array" ref="BP15">INDEX(Table_CalendarWD[프로젝트일자],COLUMN()-31,1)</f>
        <v>45139</v>
      </c>
      <c r="BQ15" s="103" cm="1">
        <f t="array" ref="BQ15">INDEX(Table_CalendarWD[프로젝트일자],COLUMN()-31,1)</f>
        <v>45140</v>
      </c>
      <c r="BR15" s="103" cm="1">
        <f t="array" ref="BR15">INDEX(Table_CalendarWD[프로젝트일자],COLUMN()-31,1)</f>
        <v>45141</v>
      </c>
      <c r="BS15" s="103" cm="1">
        <f t="array" ref="BS15">INDEX(Table_CalendarWD[프로젝트일자],COLUMN()-31,1)</f>
        <v>45142</v>
      </c>
      <c r="BT15" s="103" cm="1">
        <f t="array" ref="BT15">INDEX(Table_CalendarWD[프로젝트일자],COLUMN()-31,1)</f>
        <v>45145</v>
      </c>
      <c r="BU15" s="103" cm="1">
        <f t="array" ref="BU15">INDEX(Table_CalendarWD[프로젝트일자],COLUMN()-31,1)</f>
        <v>45146</v>
      </c>
      <c r="BV15" s="103" cm="1">
        <f t="array" ref="BV15">INDEX(Table_CalendarWD[프로젝트일자],COLUMN()-31,1)</f>
        <v>45147</v>
      </c>
      <c r="BW15" s="103" cm="1">
        <f t="array" ref="BW15">INDEX(Table_CalendarWD[프로젝트일자],COLUMN()-31,1)</f>
        <v>45148</v>
      </c>
      <c r="BX15" s="103" cm="1">
        <f t="array" ref="BX15">INDEX(Table_CalendarWD[프로젝트일자],COLUMN()-31,1)</f>
        <v>45149</v>
      </c>
      <c r="BY15" s="103" cm="1">
        <f t="array" ref="BY15">INDEX(Table_CalendarWD[프로젝트일자],COLUMN()-31,1)</f>
        <v>45152</v>
      </c>
      <c r="BZ15" s="103" cm="1">
        <f t="array" ref="BZ15">INDEX(Table_CalendarWD[프로젝트일자],COLUMN()-31,1)</f>
        <v>45154</v>
      </c>
      <c r="CA15" s="103" cm="1">
        <f t="array" ref="CA15">INDEX(Table_CalendarWD[프로젝트일자],COLUMN()-31,1)</f>
        <v>45155</v>
      </c>
      <c r="CB15" s="103" cm="1">
        <f t="array" ref="CB15">INDEX(Table_CalendarWD[프로젝트일자],COLUMN()-31,1)</f>
        <v>45156</v>
      </c>
      <c r="CC15" s="103" cm="1">
        <f t="array" ref="CC15">INDEX(Table_CalendarWD[프로젝트일자],COLUMN()-31,1)</f>
        <v>45159</v>
      </c>
      <c r="CD15" s="103" cm="1">
        <f t="array" ref="CD15">INDEX(Table_CalendarWD[프로젝트일자],COLUMN()-31,1)</f>
        <v>45160</v>
      </c>
      <c r="CE15" s="103" cm="1">
        <f t="array" ref="CE15">INDEX(Table_CalendarWD[프로젝트일자],COLUMN()-31,1)</f>
        <v>45161</v>
      </c>
      <c r="CF15" s="103" cm="1">
        <f t="array" ref="CF15">INDEX(Table_CalendarWD[프로젝트일자],COLUMN()-31,1)</f>
        <v>45162</v>
      </c>
      <c r="CG15" s="103" cm="1">
        <f t="array" ref="CG15">INDEX(Table_CalendarWD[프로젝트일자],COLUMN()-31,1)</f>
        <v>45163</v>
      </c>
      <c r="CH15" s="103" cm="1">
        <f t="array" ref="CH15">INDEX(Table_CalendarWD[프로젝트일자],COLUMN()-31,1)</f>
        <v>45166</v>
      </c>
      <c r="CI15" s="103" cm="1">
        <f t="array" ref="CI15">INDEX(Table_CalendarWD[프로젝트일자],COLUMN()-31,1)</f>
        <v>45167</v>
      </c>
      <c r="CJ15" s="103" cm="1">
        <f t="array" ref="CJ15">INDEX(Table_CalendarWD[프로젝트일자],COLUMN()-31,1)</f>
        <v>45168</v>
      </c>
      <c r="CK15" s="103" cm="1">
        <f t="array" ref="CK15">INDEX(Table_CalendarWD[프로젝트일자],COLUMN()-31,1)</f>
        <v>45169</v>
      </c>
      <c r="CL15" s="103" cm="1">
        <f t="array" ref="CL15">INDEX(Table_CalendarWD[프로젝트일자],COLUMN()-31,1)</f>
        <v>45170</v>
      </c>
      <c r="CM15" s="103" cm="1">
        <f t="array" ref="CM15">INDEX(Table_CalendarWD[프로젝트일자],COLUMN()-31,1)</f>
        <v>45173</v>
      </c>
      <c r="CN15" s="103" cm="1">
        <f t="array" ref="CN15">INDEX(Table_CalendarWD[프로젝트일자],COLUMN()-31,1)</f>
        <v>45174</v>
      </c>
      <c r="CO15" s="103" cm="1">
        <f t="array" ref="CO15">INDEX(Table_CalendarWD[프로젝트일자],COLUMN()-31,1)</f>
        <v>45175</v>
      </c>
      <c r="CP15" s="103" cm="1">
        <f t="array" ref="CP15">INDEX(Table_CalendarWD[프로젝트일자],COLUMN()-31,1)</f>
        <v>45176</v>
      </c>
      <c r="CQ15" s="103" cm="1">
        <f t="array" ref="CQ15">INDEX(Table_CalendarWD[프로젝트일자],COLUMN()-31,1)</f>
        <v>45177</v>
      </c>
      <c r="CR15" s="103" cm="1">
        <f t="array" ref="CR15">INDEX(Table_CalendarWD[프로젝트일자],COLUMN()-31,1)</f>
        <v>45180</v>
      </c>
      <c r="CS15" s="103" cm="1">
        <f t="array" ref="CS15">INDEX(Table_CalendarWD[프로젝트일자],COLUMN()-31,1)</f>
        <v>45181</v>
      </c>
      <c r="CT15" s="103" cm="1">
        <f t="array" ref="CT15">INDEX(Table_CalendarWD[프로젝트일자],COLUMN()-31,1)</f>
        <v>45182</v>
      </c>
      <c r="CU15" s="103" cm="1">
        <f t="array" ref="CU15">INDEX(Table_CalendarWD[프로젝트일자],COLUMN()-31,1)</f>
        <v>45183</v>
      </c>
      <c r="CV15" s="103" cm="1">
        <f t="array" ref="CV15">INDEX(Table_CalendarWD[프로젝트일자],COLUMN()-31,1)</f>
        <v>45184</v>
      </c>
      <c r="CW15" s="103" cm="1">
        <f t="array" ref="CW15">INDEX(Table_CalendarWD[프로젝트일자],COLUMN()-31,1)</f>
        <v>45187</v>
      </c>
      <c r="CX15" s="103" cm="1">
        <f t="array" ref="CX15">INDEX(Table_CalendarWD[프로젝트일자],COLUMN()-31,1)</f>
        <v>45188</v>
      </c>
      <c r="CY15" s="103" cm="1">
        <f t="array" ref="CY15">INDEX(Table_CalendarWD[프로젝트일자],COLUMN()-31,1)</f>
        <v>45189</v>
      </c>
      <c r="CZ15" s="103" cm="1">
        <f t="array" ref="CZ15">INDEX(Table_CalendarWD[프로젝트일자],COLUMN()-31,1)</f>
        <v>45190</v>
      </c>
      <c r="DA15" s="103" cm="1">
        <f t="array" ref="DA15">INDEX(Table_CalendarWD[프로젝트일자],COLUMN()-31,1)</f>
        <v>45191</v>
      </c>
      <c r="DB15" s="103" cm="1">
        <f t="array" ref="DB15">INDEX(Table_CalendarWD[프로젝트일자],COLUMN()-31,1)</f>
        <v>45194</v>
      </c>
      <c r="DC15" s="103" cm="1">
        <f t="array" ref="DC15">INDEX(Table_CalendarWD[프로젝트일자],COLUMN()-31,1)</f>
        <v>45195</v>
      </c>
      <c r="DD15" s="103" cm="1">
        <f t="array" ref="DD15">INDEX(Table_CalendarWD[프로젝트일자],COLUMN()-31,1)</f>
        <v>45196</v>
      </c>
      <c r="DE15" s="103" cm="1">
        <f t="array" ref="DE15">INDEX(Table_CalendarWD[프로젝트일자],COLUMN()-31,1)</f>
        <v>45201</v>
      </c>
      <c r="DF15" s="103" cm="1">
        <f t="array" ref="DF15">INDEX(Table_CalendarWD[프로젝트일자],COLUMN()-31,1)</f>
        <v>45203</v>
      </c>
      <c r="DG15" s="103" cm="1">
        <f t="array" ref="DG15">INDEX(Table_CalendarWD[프로젝트일자],COLUMN()-31,1)</f>
        <v>45204</v>
      </c>
      <c r="DH15" s="103" cm="1">
        <f t="array" ref="DH15">INDEX(Table_CalendarWD[프로젝트일자],COLUMN()-31,1)</f>
        <v>45205</v>
      </c>
      <c r="DI15" s="103" cm="1">
        <f t="array" ref="DI15">INDEX(Table_CalendarWD[프로젝트일자],COLUMN()-31,1)</f>
        <v>45209</v>
      </c>
      <c r="DJ15" s="103" cm="1">
        <f t="array" ref="DJ15">INDEX(Table_CalendarWD[프로젝트일자],COLUMN()-31,1)</f>
        <v>45210</v>
      </c>
      <c r="DK15" s="103" cm="1">
        <f t="array" ref="DK15">INDEX(Table_CalendarWD[프로젝트일자],COLUMN()-31,1)</f>
        <v>45211</v>
      </c>
      <c r="DL15" s="103" cm="1">
        <f t="array" ref="DL15">INDEX(Table_CalendarWD[프로젝트일자],COLUMN()-31,1)</f>
        <v>45212</v>
      </c>
      <c r="DM15" s="103" cm="1">
        <f t="array" ref="DM15">INDEX(Table_CalendarWD[프로젝트일자],COLUMN()-31,1)</f>
        <v>45215</v>
      </c>
      <c r="DN15" s="103" cm="1">
        <f t="array" ref="DN15">INDEX(Table_CalendarWD[프로젝트일자],COLUMN()-31,1)</f>
        <v>45216</v>
      </c>
      <c r="DO15" s="103" cm="1">
        <f t="array" ref="DO15">INDEX(Table_CalendarWD[프로젝트일자],COLUMN()-31,1)</f>
        <v>45217</v>
      </c>
      <c r="DP15" s="103" cm="1">
        <f t="array" ref="DP15">INDEX(Table_CalendarWD[프로젝트일자],COLUMN()-31,1)</f>
        <v>45218</v>
      </c>
      <c r="DQ15" s="103" cm="1">
        <f t="array" ref="DQ15">INDEX(Table_CalendarWD[프로젝트일자],COLUMN()-31,1)</f>
        <v>45219</v>
      </c>
      <c r="DR15" s="103" cm="1">
        <f t="array" ref="DR15">INDEX(Table_CalendarWD[프로젝트일자],COLUMN()-31,1)</f>
        <v>45222</v>
      </c>
      <c r="DS15" s="103" cm="1">
        <f t="array" ref="DS15">INDEX(Table_CalendarWD[프로젝트일자],COLUMN()-31,1)</f>
        <v>45223</v>
      </c>
      <c r="DT15" s="103" cm="1">
        <f t="array" ref="DT15">INDEX(Table_CalendarWD[프로젝트일자],COLUMN()-31,1)</f>
        <v>45224</v>
      </c>
      <c r="DU15" s="103" cm="1">
        <f t="array" ref="DU15">INDEX(Table_CalendarWD[프로젝트일자],COLUMN()-31,1)</f>
        <v>45225</v>
      </c>
      <c r="DV15" s="103" cm="1">
        <f t="array" ref="DV15">INDEX(Table_CalendarWD[프로젝트일자],COLUMN()-31,1)</f>
        <v>45226</v>
      </c>
      <c r="DW15" s="103" cm="1">
        <f t="array" ref="DW15">INDEX(Table_CalendarWD[프로젝트일자],COLUMN()-31,1)</f>
        <v>45229</v>
      </c>
      <c r="DX15" s="103" cm="1">
        <f t="array" ref="DX15">INDEX(Table_CalendarWD[프로젝트일자],COLUMN()-31,1)</f>
        <v>45230</v>
      </c>
      <c r="DY15" s="103" cm="1">
        <f t="array" ref="DY15">INDEX(Table_CalendarWD[프로젝트일자],COLUMN()-31,1)</f>
        <v>45231</v>
      </c>
      <c r="DZ15" s="103" cm="1">
        <f t="array" ref="DZ15">INDEX(Table_CalendarWD[프로젝트일자],COLUMN()-31,1)</f>
        <v>45232</v>
      </c>
      <c r="EA15" s="103" cm="1">
        <f t="array" ref="EA15">INDEX(Table_CalendarWD[프로젝트일자],COLUMN()-31,1)</f>
        <v>45233</v>
      </c>
    </row>
    <row r="16" spans="2:131" s="37" customFormat="1" ht="25.15" customHeight="1" thickBot="1">
      <c r="B16" s="104" t="s">
        <v>821</v>
      </c>
      <c r="C16" s="104" t="s">
        <v>822</v>
      </c>
      <c r="D16" s="105" t="s">
        <v>823</v>
      </c>
      <c r="E16" s="106" t="s">
        <v>824</v>
      </c>
      <c r="F16" s="106" t="s">
        <v>825</v>
      </c>
      <c r="G16" s="106" t="s">
        <v>826</v>
      </c>
      <c r="H16" s="107" t="s">
        <v>827</v>
      </c>
      <c r="I16" s="108" t="s">
        <v>828</v>
      </c>
      <c r="J16" s="109" t="s">
        <v>829</v>
      </c>
      <c r="K16" s="109" t="s">
        <v>830</v>
      </c>
      <c r="L16" s="108" t="str">
        <f>Table_Developer!B5</f>
        <v>정진우 수석</v>
      </c>
      <c r="M16" s="109" t="str">
        <f>Table_Developer!B6</f>
        <v>신유지 선임</v>
      </c>
      <c r="N16" s="109" t="str">
        <f>Table_Developer!B7</f>
        <v>김병준 선임</v>
      </c>
      <c r="O16" s="109" t="str">
        <f>Table_Developer!B8</f>
        <v>장민지 선임</v>
      </c>
      <c r="P16" s="109"/>
      <c r="Q16" s="109" t="str">
        <f>Table_Developer!B11</f>
        <v/>
      </c>
      <c r="R16" s="109" t="str">
        <f>Table_Developer!B12</f>
        <v/>
      </c>
      <c r="S16" s="109" t="str">
        <f>Table_Developer!B13</f>
        <v/>
      </c>
      <c r="T16" s="109" t="str">
        <f>Table_Developer!B14</f>
        <v/>
      </c>
      <c r="U16" s="110" t="str">
        <f>Table_Developer!B15</f>
        <v/>
      </c>
      <c r="V16" s="111" t="s">
        <v>647</v>
      </c>
      <c r="W16" s="109" t="s">
        <v>648</v>
      </c>
      <c r="X16" s="112" t="s">
        <v>649</v>
      </c>
      <c r="Y16" s="111" t="s">
        <v>650</v>
      </c>
      <c r="Z16" s="109" t="s">
        <v>651</v>
      </c>
      <c r="AA16" s="112" t="s">
        <v>652</v>
      </c>
      <c r="AB16" s="113" t="s">
        <v>653</v>
      </c>
      <c r="AC16" s="114" t="s">
        <v>654</v>
      </c>
      <c r="AD16" s="192"/>
      <c r="AE16" s="115" cm="1">
        <f t="array" ref="AE16:AE125">INDEX(Table_CalendarWD[프로젝트일자],COLUMN()-31,1)</f>
        <v>45089</v>
      </c>
      <c r="AF16" s="116" cm="1">
        <f t="array" ref="AF16">INDEX(Table_CalendarWD[프로젝트일자],COLUMN()-31,1)</f>
        <v>45089</v>
      </c>
      <c r="AG16" s="116" cm="1">
        <f t="array" ref="AG16">INDEX(Table_CalendarWD[프로젝트일자],COLUMN()-31,1)</f>
        <v>45090</v>
      </c>
      <c r="AH16" s="116" cm="1">
        <f t="array" ref="AH16">INDEX(Table_CalendarWD[프로젝트일자],COLUMN()-31,1)</f>
        <v>45091</v>
      </c>
      <c r="AI16" s="116" cm="1">
        <f t="array" ref="AI16">INDEX(Table_CalendarWD[프로젝트일자],COLUMN()-31,1)</f>
        <v>45092</v>
      </c>
      <c r="AJ16" s="116" cm="1">
        <f t="array" ref="AJ16">INDEX(Table_CalendarWD[프로젝트일자],COLUMN()-31,1)</f>
        <v>45093</v>
      </c>
      <c r="AK16" s="116" cm="1">
        <f t="array" ref="AK16">INDEX(Table_CalendarWD[프로젝트일자],COLUMN()-31,1)</f>
        <v>45096</v>
      </c>
      <c r="AL16" s="116" cm="1">
        <f t="array" ref="AL16">INDEX(Table_CalendarWD[프로젝트일자],COLUMN()-31,1)</f>
        <v>45097</v>
      </c>
      <c r="AM16" s="116" cm="1">
        <f t="array" ref="AM16">INDEX(Table_CalendarWD[프로젝트일자],COLUMN()-31,1)</f>
        <v>45098</v>
      </c>
      <c r="AN16" s="116" cm="1">
        <f t="array" ref="AN16">INDEX(Table_CalendarWD[프로젝트일자],COLUMN()-31,1)</f>
        <v>45099</v>
      </c>
      <c r="AO16" s="116" cm="1">
        <f t="array" ref="AO16">INDEX(Table_CalendarWD[프로젝트일자],COLUMN()-31,1)</f>
        <v>45100</v>
      </c>
      <c r="AP16" s="116" cm="1">
        <f t="array" ref="AP16">INDEX(Table_CalendarWD[프로젝트일자],COLUMN()-31,1)</f>
        <v>45103</v>
      </c>
      <c r="AQ16" s="116" cm="1">
        <f t="array" ref="AQ16">INDEX(Table_CalendarWD[프로젝트일자],COLUMN()-31,1)</f>
        <v>45104</v>
      </c>
      <c r="AR16" s="116" cm="1">
        <f t="array" ref="AR16">INDEX(Table_CalendarWD[프로젝트일자],COLUMN()-31,1)</f>
        <v>45105</v>
      </c>
      <c r="AS16" s="116" cm="1">
        <f t="array" ref="AS16">INDEX(Table_CalendarWD[프로젝트일자],COLUMN()-31,1)</f>
        <v>45106</v>
      </c>
      <c r="AT16" s="116" cm="1">
        <f t="array" ref="AT16">INDEX(Table_CalendarWD[프로젝트일자],COLUMN()-31,1)</f>
        <v>45107</v>
      </c>
      <c r="AU16" s="116" cm="1">
        <f t="array" ref="AU16">INDEX(Table_CalendarWD[프로젝트일자],COLUMN()-31,1)</f>
        <v>45110</v>
      </c>
      <c r="AV16" s="116" cm="1">
        <f t="array" ref="AV16">INDEX(Table_CalendarWD[프로젝트일자],COLUMN()-31,1)</f>
        <v>45111</v>
      </c>
      <c r="AW16" s="116" cm="1">
        <f t="array" ref="AW16">INDEX(Table_CalendarWD[프로젝트일자],COLUMN()-31,1)</f>
        <v>45112</v>
      </c>
      <c r="AX16" s="116" cm="1">
        <f t="array" ref="AX16">INDEX(Table_CalendarWD[프로젝트일자],COLUMN()-31,1)</f>
        <v>45113</v>
      </c>
      <c r="AY16" s="116" cm="1">
        <f t="array" ref="AY16">INDEX(Table_CalendarWD[프로젝트일자],COLUMN()-31,1)</f>
        <v>45114</v>
      </c>
      <c r="AZ16" s="116" cm="1">
        <f t="array" ref="AZ16">INDEX(Table_CalendarWD[프로젝트일자],COLUMN()-31,1)</f>
        <v>45117</v>
      </c>
      <c r="BA16" s="116" cm="1">
        <f t="array" ref="BA16">INDEX(Table_CalendarWD[프로젝트일자],COLUMN()-31,1)</f>
        <v>45118</v>
      </c>
      <c r="BB16" s="116" cm="1">
        <f t="array" ref="BB16">INDEX(Table_CalendarWD[프로젝트일자],COLUMN()-31,1)</f>
        <v>45119</v>
      </c>
      <c r="BC16" s="116" cm="1">
        <f t="array" ref="BC16">INDEX(Table_CalendarWD[프로젝트일자],COLUMN()-31,1)</f>
        <v>45120</v>
      </c>
      <c r="BD16" s="116" cm="1">
        <f t="array" ref="BD16">INDEX(Table_CalendarWD[프로젝트일자],COLUMN()-31,1)</f>
        <v>45121</v>
      </c>
      <c r="BE16" s="116" cm="1">
        <f t="array" ref="BE16">INDEX(Table_CalendarWD[프로젝트일자],COLUMN()-31,1)</f>
        <v>45124</v>
      </c>
      <c r="BF16" s="116" cm="1">
        <f t="array" ref="BF16">INDEX(Table_CalendarWD[프로젝트일자],COLUMN()-31,1)</f>
        <v>45125</v>
      </c>
      <c r="BG16" s="116" cm="1">
        <f t="array" ref="BG16">INDEX(Table_CalendarWD[프로젝트일자],COLUMN()-31,1)</f>
        <v>45126</v>
      </c>
      <c r="BH16" s="116" cm="1">
        <f t="array" ref="BH16">INDEX(Table_CalendarWD[프로젝트일자],COLUMN()-31,1)</f>
        <v>45127</v>
      </c>
      <c r="BI16" s="116" cm="1">
        <f t="array" ref="BI16">INDEX(Table_CalendarWD[프로젝트일자],COLUMN()-31,1)</f>
        <v>45128</v>
      </c>
      <c r="BJ16" s="116" cm="1">
        <f t="array" ref="BJ16">INDEX(Table_CalendarWD[프로젝트일자],COLUMN()-31,1)</f>
        <v>45131</v>
      </c>
      <c r="BK16" s="116" cm="1">
        <f t="array" ref="BK16">INDEX(Table_CalendarWD[프로젝트일자],COLUMN()-31,1)</f>
        <v>45132</v>
      </c>
      <c r="BL16" s="116" cm="1">
        <f t="array" ref="BL16">INDEX(Table_CalendarWD[프로젝트일자],COLUMN()-31,1)</f>
        <v>45133</v>
      </c>
      <c r="BM16" s="116" cm="1">
        <f t="array" ref="BM16">INDEX(Table_CalendarWD[프로젝트일자],COLUMN()-31,1)</f>
        <v>45134</v>
      </c>
      <c r="BN16" s="116" cm="1">
        <f t="array" ref="BN16">INDEX(Table_CalendarWD[프로젝트일자],COLUMN()-31,1)</f>
        <v>45135</v>
      </c>
      <c r="BO16" s="116" cm="1">
        <f t="array" ref="BO16">INDEX(Table_CalendarWD[프로젝트일자],COLUMN()-31,1)</f>
        <v>45138</v>
      </c>
      <c r="BP16" s="116" cm="1">
        <f t="array" ref="BP16">INDEX(Table_CalendarWD[프로젝트일자],COLUMN()-31,1)</f>
        <v>45139</v>
      </c>
      <c r="BQ16" s="116" cm="1">
        <f t="array" ref="BQ16">INDEX(Table_CalendarWD[프로젝트일자],COLUMN()-31,1)</f>
        <v>45140</v>
      </c>
      <c r="BR16" s="116" cm="1">
        <f t="array" ref="BR16">INDEX(Table_CalendarWD[프로젝트일자],COLUMN()-31,1)</f>
        <v>45141</v>
      </c>
      <c r="BS16" s="116" cm="1">
        <f t="array" ref="BS16">INDEX(Table_CalendarWD[프로젝트일자],COLUMN()-31,1)</f>
        <v>45142</v>
      </c>
      <c r="BT16" s="116" cm="1">
        <f t="array" ref="BT16">INDEX(Table_CalendarWD[프로젝트일자],COLUMN()-31,1)</f>
        <v>45145</v>
      </c>
      <c r="BU16" s="116" cm="1">
        <f t="array" ref="BU16">INDEX(Table_CalendarWD[프로젝트일자],COLUMN()-31,1)</f>
        <v>45146</v>
      </c>
      <c r="BV16" s="116" cm="1">
        <f t="array" ref="BV16">INDEX(Table_CalendarWD[프로젝트일자],COLUMN()-31,1)</f>
        <v>45147</v>
      </c>
      <c r="BW16" s="116" cm="1">
        <f t="array" ref="BW16">INDEX(Table_CalendarWD[프로젝트일자],COLUMN()-31,1)</f>
        <v>45148</v>
      </c>
      <c r="BX16" s="116" cm="1">
        <f t="array" ref="BX16">INDEX(Table_CalendarWD[프로젝트일자],COLUMN()-31,1)</f>
        <v>45149</v>
      </c>
      <c r="BY16" s="116" cm="1">
        <f t="array" ref="BY16">INDEX(Table_CalendarWD[프로젝트일자],COLUMN()-31,1)</f>
        <v>45152</v>
      </c>
      <c r="BZ16" s="116" cm="1">
        <f t="array" ref="BZ16">INDEX(Table_CalendarWD[프로젝트일자],COLUMN()-31,1)</f>
        <v>45154</v>
      </c>
      <c r="CA16" s="116" cm="1">
        <f t="array" ref="CA16">INDEX(Table_CalendarWD[프로젝트일자],COLUMN()-31,1)</f>
        <v>45155</v>
      </c>
      <c r="CB16" s="116" cm="1">
        <f t="array" ref="CB16">INDEX(Table_CalendarWD[프로젝트일자],COLUMN()-31,1)</f>
        <v>45156</v>
      </c>
      <c r="CC16" s="116" cm="1">
        <f t="array" ref="CC16">INDEX(Table_CalendarWD[프로젝트일자],COLUMN()-31,1)</f>
        <v>45159</v>
      </c>
      <c r="CD16" s="116" cm="1">
        <f t="array" ref="CD16">INDEX(Table_CalendarWD[프로젝트일자],COLUMN()-31,1)</f>
        <v>45160</v>
      </c>
      <c r="CE16" s="116" cm="1">
        <f t="array" ref="CE16">INDEX(Table_CalendarWD[프로젝트일자],COLUMN()-31,1)</f>
        <v>45161</v>
      </c>
      <c r="CF16" s="116" cm="1">
        <f t="array" ref="CF16">INDEX(Table_CalendarWD[프로젝트일자],COLUMN()-31,1)</f>
        <v>45162</v>
      </c>
      <c r="CG16" s="116" cm="1">
        <f t="array" ref="CG16">INDEX(Table_CalendarWD[프로젝트일자],COLUMN()-31,1)</f>
        <v>45163</v>
      </c>
      <c r="CH16" s="116" cm="1">
        <f t="array" ref="CH16">INDEX(Table_CalendarWD[프로젝트일자],COLUMN()-31,1)</f>
        <v>45166</v>
      </c>
      <c r="CI16" s="116" cm="1">
        <f t="array" ref="CI16">INDEX(Table_CalendarWD[프로젝트일자],COLUMN()-31,1)</f>
        <v>45167</v>
      </c>
      <c r="CJ16" s="116" cm="1">
        <f t="array" ref="CJ16">INDEX(Table_CalendarWD[프로젝트일자],COLUMN()-31,1)</f>
        <v>45168</v>
      </c>
      <c r="CK16" s="116" cm="1">
        <f t="array" ref="CK16">INDEX(Table_CalendarWD[프로젝트일자],COLUMN()-31,1)</f>
        <v>45169</v>
      </c>
      <c r="CL16" s="116" cm="1">
        <f t="array" ref="CL16">INDEX(Table_CalendarWD[프로젝트일자],COLUMN()-31,1)</f>
        <v>45170</v>
      </c>
      <c r="CM16" s="116" cm="1">
        <f t="array" ref="CM16">INDEX(Table_CalendarWD[프로젝트일자],COLUMN()-31,1)</f>
        <v>45173</v>
      </c>
      <c r="CN16" s="116" cm="1">
        <f t="array" ref="CN16">INDEX(Table_CalendarWD[프로젝트일자],COLUMN()-31,1)</f>
        <v>45174</v>
      </c>
      <c r="CO16" s="116" cm="1">
        <f t="array" ref="CO16">INDEX(Table_CalendarWD[프로젝트일자],COLUMN()-31,1)</f>
        <v>45175</v>
      </c>
      <c r="CP16" s="116" cm="1">
        <f t="array" ref="CP16">INDEX(Table_CalendarWD[프로젝트일자],COLUMN()-31,1)</f>
        <v>45176</v>
      </c>
      <c r="CQ16" s="116" cm="1">
        <f t="array" ref="CQ16">INDEX(Table_CalendarWD[프로젝트일자],COLUMN()-31,1)</f>
        <v>45177</v>
      </c>
      <c r="CR16" s="116" cm="1">
        <f t="array" ref="CR16">INDEX(Table_CalendarWD[프로젝트일자],COLUMN()-31,1)</f>
        <v>45180</v>
      </c>
      <c r="CS16" s="116" cm="1">
        <f t="array" ref="CS16">INDEX(Table_CalendarWD[프로젝트일자],COLUMN()-31,1)</f>
        <v>45181</v>
      </c>
      <c r="CT16" s="116" cm="1">
        <f t="array" ref="CT16">INDEX(Table_CalendarWD[프로젝트일자],COLUMN()-31,1)</f>
        <v>45182</v>
      </c>
      <c r="CU16" s="116" cm="1">
        <f t="array" ref="CU16">INDEX(Table_CalendarWD[프로젝트일자],COLUMN()-31,1)</f>
        <v>45183</v>
      </c>
      <c r="CV16" s="116" cm="1">
        <f t="array" ref="CV16">INDEX(Table_CalendarWD[프로젝트일자],COLUMN()-31,1)</f>
        <v>45184</v>
      </c>
      <c r="CW16" s="116" cm="1">
        <f t="array" ref="CW16">INDEX(Table_CalendarWD[프로젝트일자],COLUMN()-31,1)</f>
        <v>45187</v>
      </c>
      <c r="CX16" s="116" cm="1">
        <f t="array" ref="CX16">INDEX(Table_CalendarWD[프로젝트일자],COLUMN()-31,1)</f>
        <v>45188</v>
      </c>
      <c r="CY16" s="116" cm="1">
        <f t="array" ref="CY16">INDEX(Table_CalendarWD[프로젝트일자],COLUMN()-31,1)</f>
        <v>45189</v>
      </c>
      <c r="CZ16" s="116" cm="1">
        <f t="array" ref="CZ16">INDEX(Table_CalendarWD[프로젝트일자],COLUMN()-31,1)</f>
        <v>45190</v>
      </c>
      <c r="DA16" s="116" cm="1">
        <f t="array" ref="DA16">INDEX(Table_CalendarWD[프로젝트일자],COLUMN()-31,1)</f>
        <v>45191</v>
      </c>
      <c r="DB16" s="116" cm="1">
        <f t="array" ref="DB16">INDEX(Table_CalendarWD[프로젝트일자],COLUMN()-31,1)</f>
        <v>45194</v>
      </c>
      <c r="DC16" s="116" cm="1">
        <f t="array" ref="DC16">INDEX(Table_CalendarWD[프로젝트일자],COLUMN()-31,1)</f>
        <v>45195</v>
      </c>
      <c r="DD16" s="116" cm="1">
        <f t="array" ref="DD16">INDEX(Table_CalendarWD[프로젝트일자],COLUMN()-31,1)</f>
        <v>45196</v>
      </c>
      <c r="DE16" s="116" cm="1">
        <f t="array" ref="DE16">INDEX(Table_CalendarWD[프로젝트일자],COLUMN()-31,1)</f>
        <v>45201</v>
      </c>
      <c r="DF16" s="116" cm="1">
        <f t="array" ref="DF16">INDEX(Table_CalendarWD[프로젝트일자],COLUMN()-31,1)</f>
        <v>45203</v>
      </c>
      <c r="DG16" s="116" cm="1">
        <f t="array" ref="DG16">INDEX(Table_CalendarWD[프로젝트일자],COLUMN()-31,1)</f>
        <v>45204</v>
      </c>
      <c r="DH16" s="116" cm="1">
        <f t="array" ref="DH16">INDEX(Table_CalendarWD[프로젝트일자],COLUMN()-31,1)</f>
        <v>45205</v>
      </c>
      <c r="DI16" s="116" cm="1">
        <f t="array" ref="DI16">INDEX(Table_CalendarWD[프로젝트일자],COLUMN()-31,1)</f>
        <v>45209</v>
      </c>
      <c r="DJ16" s="116" cm="1">
        <f t="array" ref="DJ16">INDEX(Table_CalendarWD[프로젝트일자],COLUMN()-31,1)</f>
        <v>45210</v>
      </c>
      <c r="DK16" s="116" cm="1">
        <f t="array" ref="DK16">INDEX(Table_CalendarWD[프로젝트일자],COLUMN()-31,1)</f>
        <v>45211</v>
      </c>
      <c r="DL16" s="116" cm="1">
        <f t="array" ref="DL16">INDEX(Table_CalendarWD[프로젝트일자],COLUMN()-31,1)</f>
        <v>45212</v>
      </c>
      <c r="DM16" s="116" cm="1">
        <f t="array" ref="DM16">INDEX(Table_CalendarWD[프로젝트일자],COLUMN()-31,1)</f>
        <v>45215</v>
      </c>
      <c r="DN16" s="116" cm="1">
        <f t="array" ref="DN16">INDEX(Table_CalendarWD[프로젝트일자],COLUMN()-31,1)</f>
        <v>45216</v>
      </c>
      <c r="DO16" s="116" cm="1">
        <f t="array" ref="DO16">INDEX(Table_CalendarWD[프로젝트일자],COLUMN()-31,1)</f>
        <v>45217</v>
      </c>
      <c r="DP16" s="116" cm="1">
        <f t="array" ref="DP16">INDEX(Table_CalendarWD[프로젝트일자],COLUMN()-31,1)</f>
        <v>45218</v>
      </c>
      <c r="DQ16" s="116" cm="1">
        <f t="array" ref="DQ16">INDEX(Table_CalendarWD[프로젝트일자],COLUMN()-31,1)</f>
        <v>45219</v>
      </c>
      <c r="DR16" s="116" cm="1">
        <f t="array" ref="DR16">INDEX(Table_CalendarWD[프로젝트일자],COLUMN()-31,1)</f>
        <v>45222</v>
      </c>
      <c r="DS16" s="116" cm="1">
        <f t="array" ref="DS16">INDEX(Table_CalendarWD[프로젝트일자],COLUMN()-31,1)</f>
        <v>45223</v>
      </c>
      <c r="DT16" s="116" cm="1">
        <f t="array" ref="DT16">INDEX(Table_CalendarWD[프로젝트일자],COLUMN()-31,1)</f>
        <v>45224</v>
      </c>
      <c r="DU16" s="116" cm="1">
        <f t="array" ref="DU16">INDEX(Table_CalendarWD[프로젝트일자],COLUMN()-31,1)</f>
        <v>45225</v>
      </c>
      <c r="DV16" s="116" cm="1">
        <f t="array" ref="DV16">INDEX(Table_CalendarWD[프로젝트일자],COLUMN()-31,1)</f>
        <v>45226</v>
      </c>
      <c r="DW16" s="116" cm="1">
        <f t="array" ref="DW16">INDEX(Table_CalendarWD[프로젝트일자],COLUMN()-31,1)</f>
        <v>45229</v>
      </c>
      <c r="DX16" s="116" cm="1">
        <f t="array" ref="DX16">INDEX(Table_CalendarWD[프로젝트일자],COLUMN()-31,1)</f>
        <v>45230</v>
      </c>
      <c r="DY16" s="116" cm="1">
        <f t="array" ref="DY16">INDEX(Table_CalendarWD[프로젝트일자],COLUMN()-31,1)</f>
        <v>45231</v>
      </c>
      <c r="DZ16" s="116" cm="1">
        <f t="array" ref="DZ16">INDEX(Table_CalendarWD[프로젝트일자],COLUMN()-31,1)</f>
        <v>45232</v>
      </c>
      <c r="EA16" s="116" cm="1">
        <f t="array" ref="EA16">INDEX(Table_CalendarWD[프로젝트일자],COLUMN()-31,1)</f>
        <v>45233</v>
      </c>
    </row>
    <row r="17" spans="2:131" ht="17.100000000000001" customHeight="1" thickTop="1">
      <c r="B17" s="83">
        <v>1</v>
      </c>
      <c r="C17" s="83" t="s">
        <v>655</v>
      </c>
      <c r="D17" s="137" t="s">
        <v>1002</v>
      </c>
      <c r="E17" s="136"/>
      <c r="F17" s="136"/>
      <c r="G17" s="136"/>
      <c r="H17" s="84"/>
      <c r="I17" s="148" t="str">
        <f t="shared" ref="I17:U17" si="0">IF(COUNTIF(I18:I82,"●")&gt;0,"●","")</f>
        <v>●</v>
      </c>
      <c r="J17" s="147" t="str">
        <f t="shared" si="0"/>
        <v>●</v>
      </c>
      <c r="K17" s="147" t="str">
        <f t="shared" si="0"/>
        <v/>
      </c>
      <c r="L17" s="148" t="str">
        <f t="shared" si="0"/>
        <v/>
      </c>
      <c r="M17" s="147" t="str">
        <f t="shared" si="0"/>
        <v>●</v>
      </c>
      <c r="N17" s="146" t="str">
        <f t="shared" si="0"/>
        <v>●</v>
      </c>
      <c r="O17" s="146" t="str">
        <f t="shared" si="0"/>
        <v/>
      </c>
      <c r="P17" s="146" t="str">
        <f t="shared" si="0"/>
        <v/>
      </c>
      <c r="Q17" s="146" t="str">
        <f t="shared" si="0"/>
        <v/>
      </c>
      <c r="R17" s="146" t="str">
        <f t="shared" si="0"/>
        <v/>
      </c>
      <c r="S17" s="146" t="str">
        <f t="shared" si="0"/>
        <v/>
      </c>
      <c r="T17" s="146" t="str">
        <f t="shared" si="0"/>
        <v/>
      </c>
      <c r="U17" s="146" t="str">
        <f t="shared" si="0"/>
        <v/>
      </c>
      <c r="V17" s="85">
        <f>IF(MIN(V18:V82)=0,"",MIN(V18:V82))</f>
        <v>45089</v>
      </c>
      <c r="W17" s="86">
        <f ca="1">IF(AND(V17="",X17="")=TRUE,"",IF(AND(V17&gt;0,X17="")=TRUE,NETWORKDAYS(V17,TODAY(),Holidays),NETWORKDAYS(V17,X17,Holidays)))</f>
        <v>75</v>
      </c>
      <c r="X17" s="87">
        <f>IF(MAX(X18:X82)=0,"",MAX(X18:X82))</f>
        <v>45194</v>
      </c>
      <c r="Y17" s="85">
        <f>IF(MIN(Y18:Y82)=0,"",MIN(Y18:Y82))</f>
        <v>45096</v>
      </c>
      <c r="Z17" s="86">
        <f t="shared" ref="Z17:Z23" ca="1" si="1">IF(AND(Y17="",AA17="")=TRUE,"",IF(AND(Y17&gt;0,AA17="")=TRUE,NETWORKDAYS(Y17,TODAY(),Holidays),NETWORKDAYS(Y17,AA17,Holidays)))</f>
        <v>70</v>
      </c>
      <c r="AA17" s="87">
        <f>IF(MAX(AA18:AA82)=0,"",MAX(AA18:AA82))</f>
        <v>45194</v>
      </c>
      <c r="AB17" s="88">
        <f>IFERROR(AVERAGE(AB18,AB52),"")</f>
        <v>1</v>
      </c>
      <c r="AC17" s="89" t="str">
        <f t="shared" ref="AC17:AC76" si="2">IF(AB17=100%,"Completed",IF(AND(AB17&lt;100%,AB17&gt;0%)=TRUE,"In-Progress","Open"))</f>
        <v>Completed</v>
      </c>
      <c r="AD17" s="153"/>
      <c r="AE17" s="80">
        <v>45090</v>
      </c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1"/>
      <c r="CF17" s="81"/>
      <c r="CG17" s="81"/>
      <c r="CH17" s="81"/>
      <c r="CI17" s="81"/>
      <c r="CJ17" s="81"/>
      <c r="CK17" s="81"/>
      <c r="CL17" s="81"/>
      <c r="CM17" s="81"/>
      <c r="CN17" s="81"/>
      <c r="CO17" s="81"/>
      <c r="CP17" s="81"/>
      <c r="CQ17" s="81"/>
      <c r="CR17" s="81"/>
      <c r="CS17" s="81"/>
      <c r="CT17" s="81"/>
      <c r="CU17" s="81"/>
      <c r="CV17" s="81"/>
      <c r="CW17" s="81"/>
      <c r="CX17" s="81"/>
      <c r="CY17" s="81"/>
      <c r="CZ17" s="81"/>
      <c r="DA17" s="81"/>
      <c r="DB17" s="81"/>
      <c r="DC17" s="81"/>
      <c r="DD17" s="81"/>
      <c r="DE17" s="81"/>
      <c r="DF17" s="81"/>
      <c r="DG17" s="81"/>
      <c r="DH17" s="81"/>
      <c r="DI17" s="81"/>
      <c r="DJ17" s="81"/>
      <c r="DK17" s="81"/>
      <c r="DL17" s="81"/>
      <c r="DM17" s="81"/>
      <c r="DN17" s="81"/>
      <c r="DO17" s="81"/>
      <c r="DP17" s="81"/>
      <c r="DQ17" s="81"/>
      <c r="DR17" s="81"/>
      <c r="DS17" s="81"/>
      <c r="DT17" s="81"/>
      <c r="DU17" s="81"/>
      <c r="DV17" s="81"/>
      <c r="DW17" s="81"/>
      <c r="DX17" s="81"/>
      <c r="DY17" s="81"/>
      <c r="DZ17" s="81"/>
      <c r="EA17" s="81"/>
    </row>
    <row r="18" spans="2:131" ht="17.100000000000001" customHeight="1">
      <c r="B18" s="92">
        <v>2</v>
      </c>
      <c r="C18" s="92" t="s">
        <v>655</v>
      </c>
      <c r="D18" s="93"/>
      <c r="E18" s="94" t="s">
        <v>833</v>
      </c>
      <c r="F18" s="94"/>
      <c r="G18" s="94"/>
      <c r="H18" s="95"/>
      <c r="I18" s="118" t="str">
        <f t="shared" ref="I18:U18" si="3">IF(COUNTIF(I19:I48,"●")&gt;0,"●","")</f>
        <v>●</v>
      </c>
      <c r="J18" s="91" t="str">
        <f t="shared" si="3"/>
        <v>●</v>
      </c>
      <c r="K18" s="91" t="str">
        <f t="shared" si="3"/>
        <v/>
      </c>
      <c r="L18" s="118" t="str">
        <f t="shared" si="3"/>
        <v/>
      </c>
      <c r="M18" s="91" t="str">
        <f t="shared" si="3"/>
        <v/>
      </c>
      <c r="N18" s="144" t="str">
        <f t="shared" si="3"/>
        <v>●</v>
      </c>
      <c r="O18" s="144" t="str">
        <f t="shared" si="3"/>
        <v/>
      </c>
      <c r="P18" s="144" t="str">
        <f t="shared" si="3"/>
        <v/>
      </c>
      <c r="Q18" s="144" t="str">
        <f t="shared" si="3"/>
        <v/>
      </c>
      <c r="R18" s="144" t="str">
        <f t="shared" si="3"/>
        <v/>
      </c>
      <c r="S18" s="144" t="str">
        <f t="shared" si="3"/>
        <v/>
      </c>
      <c r="T18" s="144" t="str">
        <f t="shared" si="3"/>
        <v/>
      </c>
      <c r="U18" s="144" t="str">
        <f t="shared" si="3"/>
        <v/>
      </c>
      <c r="V18" s="96">
        <f>IF(MIN(V19:V48)=0,"",MIN(V19:V48))</f>
        <v>45089</v>
      </c>
      <c r="W18" s="97">
        <f ca="1">IF(AND(V18="",X18="")=TRUE,"",IF(AND(V18&gt;0,X18="")=TRUE,NETWORKDAYS(V18,TODAY(),Holidays),NETWORKDAYS(V18,X18,Holidays)))</f>
        <v>55</v>
      </c>
      <c r="X18" s="139">
        <f>IF(MAX(X19:X48)=0,"",MAX(X19:X48))</f>
        <v>45166</v>
      </c>
      <c r="Y18" s="96">
        <f>IF(MIN(Y19:Y48)=0,"",MIN(Y19:Y48))</f>
        <v>45096</v>
      </c>
      <c r="Z18" s="97">
        <f t="shared" ca="1" si="1"/>
        <v>69</v>
      </c>
      <c r="AA18" s="98">
        <f>IF(MAX(AA19:AA48)=0,"",MAX(AA19:AA48))</f>
        <v>45191</v>
      </c>
      <c r="AB18" s="99">
        <f>IFERROR(AVERAGE(AB19,AB26,AB29,AB35,AB39,AB45,AB49),"")</f>
        <v>1</v>
      </c>
      <c r="AC18" s="100" t="str">
        <f t="shared" si="2"/>
        <v>Completed</v>
      </c>
      <c r="AD18" s="154"/>
      <c r="AE18" s="80">
        <v>45091</v>
      </c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1"/>
      <c r="CF18" s="81"/>
      <c r="CG18" s="81"/>
      <c r="CH18" s="81"/>
      <c r="CI18" s="81"/>
      <c r="CJ18" s="81"/>
      <c r="CK18" s="81"/>
      <c r="CL18" s="81"/>
      <c r="CM18" s="81"/>
      <c r="CN18" s="81"/>
      <c r="CO18" s="81"/>
      <c r="CP18" s="81"/>
      <c r="CQ18" s="81"/>
      <c r="CR18" s="81"/>
      <c r="CS18" s="81"/>
      <c r="CT18" s="81"/>
      <c r="CU18" s="81"/>
      <c r="CV18" s="81"/>
      <c r="CW18" s="81"/>
      <c r="CX18" s="81"/>
      <c r="CY18" s="81"/>
      <c r="CZ18" s="81"/>
      <c r="DA18" s="81"/>
      <c r="DB18" s="81"/>
      <c r="DC18" s="81"/>
      <c r="DD18" s="81"/>
      <c r="DE18" s="81"/>
      <c r="DF18" s="81"/>
      <c r="DG18" s="81"/>
      <c r="DH18" s="81"/>
      <c r="DI18" s="81"/>
      <c r="DJ18" s="81"/>
      <c r="DK18" s="81"/>
      <c r="DL18" s="81"/>
      <c r="DM18" s="81"/>
      <c r="DN18" s="81"/>
      <c r="DO18" s="81"/>
      <c r="DP18" s="81"/>
      <c r="DQ18" s="81"/>
      <c r="DR18" s="81"/>
      <c r="DS18" s="81"/>
      <c r="DT18" s="81"/>
      <c r="DU18" s="81"/>
      <c r="DV18" s="81"/>
      <c r="DW18" s="81"/>
      <c r="DX18" s="81"/>
      <c r="DY18" s="81"/>
      <c r="DZ18" s="81"/>
      <c r="EA18" s="81"/>
    </row>
    <row r="19" spans="2:131" ht="17.100000000000001" customHeight="1">
      <c r="B19" s="92">
        <v>3</v>
      </c>
      <c r="C19" s="92" t="s">
        <v>655</v>
      </c>
      <c r="D19" s="93"/>
      <c r="E19" s="94"/>
      <c r="F19" s="94" t="s">
        <v>834</v>
      </c>
      <c r="G19" s="94"/>
      <c r="H19" s="95"/>
      <c r="I19" s="118" t="str">
        <f>IF(COUNTIF(I20:I25,"●")&gt;0,"●","")</f>
        <v>●</v>
      </c>
      <c r="J19" s="91" t="str">
        <f t="shared" ref="J19:K19" si="4">IF(COUNTIF(J20:J25,"●")&gt;0,"●","")</f>
        <v/>
      </c>
      <c r="K19" s="91" t="str">
        <f t="shared" si="4"/>
        <v/>
      </c>
      <c r="L19" s="118" t="str">
        <f>IF(COUNTIF(L20:L25,"●")&gt;0,"●","")</f>
        <v/>
      </c>
      <c r="M19" s="91" t="str">
        <f t="shared" ref="M19:U19" si="5">IF(COUNTIF(M20:M25,"●")&gt;0,"●","")</f>
        <v/>
      </c>
      <c r="N19" s="144" t="str">
        <f t="shared" si="5"/>
        <v>●</v>
      </c>
      <c r="O19" s="144" t="str">
        <f t="shared" si="5"/>
        <v/>
      </c>
      <c r="P19" s="144" t="str">
        <f t="shared" ref="P19" si="6">IF(COUNTIF(P20:P25,"●")&gt;0,"●","")</f>
        <v/>
      </c>
      <c r="Q19" s="144" t="str">
        <f t="shared" si="5"/>
        <v/>
      </c>
      <c r="R19" s="144" t="str">
        <f t="shared" si="5"/>
        <v/>
      </c>
      <c r="S19" s="144" t="str">
        <f t="shared" si="5"/>
        <v/>
      </c>
      <c r="T19" s="144" t="str">
        <f t="shared" si="5"/>
        <v/>
      </c>
      <c r="U19" s="144" t="str">
        <f t="shared" si="5"/>
        <v/>
      </c>
      <c r="V19" s="96">
        <f>IF(MIN(V20:V25)=0,"",MIN(V20:V25))</f>
        <v>45089</v>
      </c>
      <c r="W19" s="97">
        <f ca="1">IF(AND(V19="",X19="")=TRUE,"",IF(AND(V19&gt;0,X19="")=TRUE,NETWORKDAYS(V19,TODAY(),Holidays),NETWORKDAYS(V19,X19,Holidays)))</f>
        <v>20</v>
      </c>
      <c r="X19" s="138">
        <f>IF(MAX(X20:X25)=0,"",MAX(X20:X25))</f>
        <v>45114</v>
      </c>
      <c r="Y19" s="96">
        <f>IF(MIN(Y20:Y25)=0,"",MIN(Y20:Y25))</f>
        <v>45096</v>
      </c>
      <c r="Z19" s="97">
        <f t="shared" ref="Z19" ca="1" si="7">IF(AND(Y19="",AA19="")=TRUE,"",IF(AND(Y19&gt;0,AA19="")=TRUE,NETWORKDAYS(Y19,TODAY(),Holidays),NETWORKDAYS(Y19,AA19,Holidays)))</f>
        <v>15</v>
      </c>
      <c r="AA19" s="98">
        <f>IF(MAX(AA20:AA25)=0,"",MAX(AA20:AA25))</f>
        <v>45114</v>
      </c>
      <c r="AB19" s="99">
        <f>IFERROR(AVERAGE(AB20:AB25),"")</f>
        <v>1</v>
      </c>
      <c r="AC19" s="100" t="str">
        <f t="shared" si="2"/>
        <v>Completed</v>
      </c>
      <c r="AD19" s="154"/>
      <c r="AE19" s="80">
        <v>45092</v>
      </c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/>
      <c r="CW19" s="81"/>
      <c r="CX19" s="81"/>
      <c r="CY19" s="81"/>
      <c r="CZ19" s="81"/>
      <c r="DA19" s="81"/>
      <c r="DB19" s="81"/>
      <c r="DC19" s="81"/>
      <c r="DD19" s="81"/>
      <c r="DE19" s="81"/>
      <c r="DF19" s="81"/>
      <c r="DG19" s="81"/>
      <c r="DH19" s="81"/>
      <c r="DI19" s="81"/>
      <c r="DJ19" s="81"/>
      <c r="DK19" s="81"/>
      <c r="DL19" s="81"/>
      <c r="DM19" s="81"/>
      <c r="DN19" s="81"/>
      <c r="DO19" s="81"/>
      <c r="DP19" s="81"/>
      <c r="DQ19" s="81"/>
      <c r="DR19" s="81"/>
      <c r="DS19" s="81"/>
      <c r="DT19" s="81"/>
      <c r="DU19" s="81"/>
      <c r="DV19" s="81"/>
      <c r="DW19" s="81"/>
      <c r="DX19" s="81"/>
      <c r="DY19" s="81"/>
      <c r="DZ19" s="81"/>
      <c r="EA19" s="81"/>
    </row>
    <row r="20" spans="2:131" ht="17.100000000000001" customHeight="1">
      <c r="B20" s="58">
        <v>4</v>
      </c>
      <c r="C20" s="58" t="s">
        <v>658</v>
      </c>
      <c r="D20" s="59"/>
      <c r="E20" s="60"/>
      <c r="F20" s="60"/>
      <c r="G20" s="60" t="s">
        <v>835</v>
      </c>
      <c r="H20" s="62"/>
      <c r="I20" s="145" t="s">
        <v>836</v>
      </c>
      <c r="J20" s="61"/>
      <c r="K20" s="61"/>
      <c r="L20" s="123"/>
      <c r="M20" s="61"/>
      <c r="N20" s="145" t="s">
        <v>836</v>
      </c>
      <c r="O20" s="61"/>
      <c r="P20" s="61"/>
      <c r="Q20" s="61"/>
      <c r="R20" s="61"/>
      <c r="S20" s="61"/>
      <c r="T20" s="61"/>
      <c r="U20" s="63"/>
      <c r="V20" s="64">
        <v>45089</v>
      </c>
      <c r="W20" s="61">
        <v>5</v>
      </c>
      <c r="X20" s="140">
        <f t="shared" ref="X20:X23" si="8">IF(AND(V20="",W20="")=TRUE,"",WORKDAY(V20,W20-1,Holidays))</f>
        <v>45093</v>
      </c>
      <c r="Y20" s="64">
        <v>45096</v>
      </c>
      <c r="Z20" s="126">
        <f t="shared" ca="1" si="1"/>
        <v>4</v>
      </c>
      <c r="AA20" s="65">
        <v>45099</v>
      </c>
      <c r="AB20" s="66">
        <v>1</v>
      </c>
      <c r="AC20" s="125" t="str">
        <f t="shared" si="2"/>
        <v>Completed</v>
      </c>
      <c r="AD20" s="152"/>
      <c r="AE20" s="80">
        <v>45093</v>
      </c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1"/>
      <c r="CF20" s="81"/>
      <c r="CG20" s="81"/>
      <c r="CH20" s="81"/>
      <c r="CI20" s="81"/>
      <c r="CJ20" s="81"/>
      <c r="CK20" s="81"/>
      <c r="CL20" s="81"/>
      <c r="CM20" s="81"/>
      <c r="CN20" s="81"/>
      <c r="CO20" s="81"/>
      <c r="CP20" s="81"/>
      <c r="CQ20" s="81"/>
      <c r="CR20" s="81"/>
      <c r="CS20" s="81"/>
      <c r="CT20" s="81"/>
      <c r="CU20" s="81"/>
      <c r="CV20" s="81"/>
      <c r="CW20" s="81"/>
      <c r="CX20" s="81"/>
      <c r="CY20" s="81"/>
      <c r="CZ20" s="81"/>
      <c r="DA20" s="81"/>
      <c r="DB20" s="81"/>
      <c r="DC20" s="81"/>
      <c r="DD20" s="81"/>
      <c r="DE20" s="81"/>
      <c r="DF20" s="81"/>
      <c r="DG20" s="81"/>
      <c r="DH20" s="81"/>
      <c r="DI20" s="81"/>
      <c r="DJ20" s="81"/>
      <c r="DK20" s="81"/>
      <c r="DL20" s="81"/>
      <c r="DM20" s="81"/>
      <c r="DN20" s="81"/>
      <c r="DO20" s="81"/>
      <c r="DP20" s="81"/>
      <c r="DQ20" s="81"/>
      <c r="DR20" s="81"/>
      <c r="DS20" s="81"/>
      <c r="DT20" s="81"/>
      <c r="DU20" s="81"/>
      <c r="DV20" s="81"/>
      <c r="DW20" s="81"/>
      <c r="DX20" s="81"/>
      <c r="DY20" s="81"/>
      <c r="DZ20" s="81"/>
      <c r="EA20" s="81"/>
    </row>
    <row r="21" spans="2:131" ht="17.100000000000001" customHeight="1">
      <c r="B21" s="58">
        <v>4</v>
      </c>
      <c r="C21" s="58" t="s">
        <v>658</v>
      </c>
      <c r="D21" s="59"/>
      <c r="E21" s="60"/>
      <c r="F21" s="60"/>
      <c r="G21" s="60" t="s">
        <v>837</v>
      </c>
      <c r="H21" s="62"/>
      <c r="I21" s="145" t="s">
        <v>836</v>
      </c>
      <c r="J21" s="61"/>
      <c r="K21" s="61"/>
      <c r="L21" s="123"/>
      <c r="M21" s="61"/>
      <c r="N21" s="145" t="s">
        <v>836</v>
      </c>
      <c r="O21" s="61"/>
      <c r="P21" s="61"/>
      <c r="Q21" s="61"/>
      <c r="R21" s="61"/>
      <c r="S21" s="61"/>
      <c r="T21" s="61"/>
      <c r="U21" s="63"/>
      <c r="V21" s="64">
        <v>45096</v>
      </c>
      <c r="W21" s="61">
        <v>5</v>
      </c>
      <c r="X21" s="140">
        <f t="shared" si="8"/>
        <v>45100</v>
      </c>
      <c r="Y21" s="64">
        <v>45105</v>
      </c>
      <c r="Z21" s="126">
        <f t="shared" ca="1" si="1"/>
        <v>8</v>
      </c>
      <c r="AA21" s="65">
        <v>45114</v>
      </c>
      <c r="AB21" s="66">
        <v>1</v>
      </c>
      <c r="AC21" s="125" t="str">
        <f t="shared" si="2"/>
        <v>Completed</v>
      </c>
      <c r="AD21" s="152"/>
      <c r="AE21" s="80">
        <v>45096</v>
      </c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81"/>
      <c r="CF21" s="81"/>
      <c r="CG21" s="81"/>
      <c r="CH21" s="81"/>
      <c r="CI21" s="81"/>
      <c r="CJ21" s="81"/>
      <c r="CK21" s="81"/>
      <c r="CL21" s="81"/>
      <c r="CM21" s="81"/>
      <c r="CN21" s="81"/>
      <c r="CO21" s="81"/>
      <c r="CP21" s="81"/>
      <c r="CQ21" s="81"/>
      <c r="CR21" s="81"/>
      <c r="CS21" s="81"/>
      <c r="CT21" s="81"/>
      <c r="CU21" s="81"/>
      <c r="CV21" s="81"/>
      <c r="CW21" s="81"/>
      <c r="CX21" s="81"/>
      <c r="CY21" s="81"/>
      <c r="CZ21" s="81"/>
      <c r="DA21" s="81"/>
      <c r="DB21" s="81"/>
      <c r="DC21" s="81"/>
      <c r="DD21" s="81"/>
      <c r="DE21" s="81"/>
      <c r="DF21" s="81"/>
      <c r="DG21" s="81"/>
      <c r="DH21" s="81"/>
      <c r="DI21" s="81"/>
      <c r="DJ21" s="81"/>
      <c r="DK21" s="81"/>
      <c r="DL21" s="81"/>
      <c r="DM21" s="81"/>
      <c r="DN21" s="81"/>
      <c r="DO21" s="81"/>
      <c r="DP21" s="81"/>
      <c r="DQ21" s="81"/>
      <c r="DR21" s="81"/>
      <c r="DS21" s="81"/>
      <c r="DT21" s="81"/>
      <c r="DU21" s="81"/>
      <c r="DV21" s="81"/>
      <c r="DW21" s="81"/>
      <c r="DX21" s="81"/>
      <c r="DY21" s="81"/>
      <c r="DZ21" s="81"/>
      <c r="EA21" s="81"/>
    </row>
    <row r="22" spans="2:131" ht="17.100000000000001" customHeight="1">
      <c r="B22" s="58">
        <v>4</v>
      </c>
      <c r="C22" s="58" t="s">
        <v>658</v>
      </c>
      <c r="D22" s="59"/>
      <c r="E22" s="60"/>
      <c r="F22" s="60"/>
      <c r="G22" s="60" t="s">
        <v>838</v>
      </c>
      <c r="H22" s="62"/>
      <c r="I22" s="145" t="s">
        <v>836</v>
      </c>
      <c r="J22" s="61"/>
      <c r="K22" s="61"/>
      <c r="L22" s="123"/>
      <c r="M22" s="61"/>
      <c r="N22" s="145" t="s">
        <v>836</v>
      </c>
      <c r="O22" s="61"/>
      <c r="P22" s="61"/>
      <c r="Q22" s="61"/>
      <c r="R22" s="61"/>
      <c r="S22" s="61"/>
      <c r="T22" s="61"/>
      <c r="U22" s="63"/>
      <c r="V22" s="64">
        <v>45103</v>
      </c>
      <c r="W22" s="61">
        <v>3</v>
      </c>
      <c r="X22" s="140">
        <f t="shared" si="8"/>
        <v>45105</v>
      </c>
      <c r="Y22" s="64">
        <v>45103</v>
      </c>
      <c r="Z22" s="126">
        <f t="shared" ca="1" si="1"/>
        <v>3</v>
      </c>
      <c r="AA22" s="65">
        <v>45105</v>
      </c>
      <c r="AB22" s="66">
        <v>1</v>
      </c>
      <c r="AC22" s="125" t="str">
        <f t="shared" si="2"/>
        <v>Completed</v>
      </c>
      <c r="AD22" s="152"/>
      <c r="AE22" s="80">
        <v>45097</v>
      </c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1"/>
      <c r="CF22" s="81"/>
      <c r="CG22" s="81"/>
      <c r="CH22" s="81"/>
      <c r="CI22" s="81"/>
      <c r="CJ22" s="81"/>
      <c r="CK22" s="81"/>
      <c r="CL22" s="81"/>
      <c r="CM22" s="81"/>
      <c r="CN22" s="81"/>
      <c r="CO22" s="81"/>
      <c r="CP22" s="81"/>
      <c r="CQ22" s="81"/>
      <c r="CR22" s="81"/>
      <c r="CS22" s="81"/>
      <c r="CT22" s="81"/>
      <c r="CU22" s="81"/>
      <c r="CV22" s="81"/>
      <c r="CW22" s="81"/>
      <c r="CX22" s="81"/>
      <c r="CY22" s="81"/>
      <c r="CZ22" s="81"/>
      <c r="DA22" s="81"/>
      <c r="DB22" s="81"/>
      <c r="DC22" s="81"/>
      <c r="DD22" s="81"/>
      <c r="DE22" s="81"/>
      <c r="DF22" s="81"/>
      <c r="DG22" s="81"/>
      <c r="DH22" s="81"/>
      <c r="DI22" s="81"/>
      <c r="DJ22" s="81"/>
      <c r="DK22" s="81"/>
      <c r="DL22" s="81"/>
      <c r="DM22" s="81"/>
      <c r="DN22" s="81"/>
      <c r="DO22" s="81"/>
      <c r="DP22" s="81"/>
      <c r="DQ22" s="81"/>
      <c r="DR22" s="81"/>
      <c r="DS22" s="81"/>
      <c r="DT22" s="81"/>
      <c r="DU22" s="81"/>
      <c r="DV22" s="81"/>
      <c r="DW22" s="81"/>
      <c r="DX22" s="81"/>
      <c r="DY22" s="81"/>
      <c r="DZ22" s="81"/>
      <c r="EA22" s="81"/>
    </row>
    <row r="23" spans="2:131" ht="17.100000000000001" customHeight="1">
      <c r="B23" s="58">
        <v>4</v>
      </c>
      <c r="C23" s="58" t="s">
        <v>658</v>
      </c>
      <c r="D23" s="59"/>
      <c r="E23" s="60"/>
      <c r="F23" s="60"/>
      <c r="G23" s="60" t="s">
        <v>839</v>
      </c>
      <c r="H23" s="62"/>
      <c r="I23" s="145" t="s">
        <v>836</v>
      </c>
      <c r="J23" s="61"/>
      <c r="K23" s="61"/>
      <c r="L23" s="123"/>
      <c r="M23" s="61"/>
      <c r="N23" s="145" t="s">
        <v>836</v>
      </c>
      <c r="O23" s="61"/>
      <c r="P23" s="61"/>
      <c r="Q23" s="61"/>
      <c r="R23" s="61"/>
      <c r="S23" s="61"/>
      <c r="T23" s="61"/>
      <c r="U23" s="63"/>
      <c r="V23" s="64">
        <v>45106</v>
      </c>
      <c r="W23" s="61">
        <v>3</v>
      </c>
      <c r="X23" s="140">
        <f t="shared" si="8"/>
        <v>45110</v>
      </c>
      <c r="Y23" s="64">
        <v>45099</v>
      </c>
      <c r="Z23" s="126">
        <f t="shared" ca="1" si="1"/>
        <v>2</v>
      </c>
      <c r="AA23" s="65">
        <v>45100</v>
      </c>
      <c r="AB23" s="66">
        <v>1</v>
      </c>
      <c r="AC23" s="125" t="str">
        <f t="shared" si="2"/>
        <v>Completed</v>
      </c>
      <c r="AD23" s="152"/>
      <c r="AE23" s="80">
        <v>45098</v>
      </c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1"/>
      <c r="CF23" s="81"/>
      <c r="CG23" s="81"/>
      <c r="CH23" s="81"/>
      <c r="CI23" s="81"/>
      <c r="CJ23" s="81"/>
      <c r="CK23" s="81"/>
      <c r="CL23" s="81"/>
      <c r="CM23" s="81"/>
      <c r="CN23" s="81"/>
      <c r="CO23" s="81"/>
      <c r="CP23" s="81"/>
      <c r="CQ23" s="81"/>
      <c r="CR23" s="81"/>
      <c r="CS23" s="81"/>
      <c r="CT23" s="81"/>
      <c r="CU23" s="81"/>
      <c r="CV23" s="81"/>
      <c r="CW23" s="81"/>
      <c r="CX23" s="81"/>
      <c r="CY23" s="81"/>
      <c r="CZ23" s="81"/>
      <c r="DA23" s="81"/>
      <c r="DB23" s="81"/>
      <c r="DC23" s="81"/>
      <c r="DD23" s="81"/>
      <c r="DE23" s="81"/>
      <c r="DF23" s="81"/>
      <c r="DG23" s="81"/>
      <c r="DH23" s="81"/>
      <c r="DI23" s="81"/>
      <c r="DJ23" s="81"/>
      <c r="DK23" s="81"/>
      <c r="DL23" s="81"/>
      <c r="DM23" s="81"/>
      <c r="DN23" s="81"/>
      <c r="DO23" s="81"/>
      <c r="DP23" s="81"/>
      <c r="DQ23" s="81"/>
      <c r="DR23" s="81"/>
      <c r="DS23" s="81"/>
      <c r="DT23" s="81"/>
      <c r="DU23" s="81"/>
      <c r="DV23" s="81"/>
      <c r="DW23" s="81"/>
      <c r="DX23" s="81"/>
      <c r="DY23" s="81"/>
      <c r="DZ23" s="81"/>
      <c r="EA23" s="81"/>
    </row>
    <row r="24" spans="2:131" ht="17.100000000000001" customHeight="1">
      <c r="B24" s="58">
        <v>4</v>
      </c>
      <c r="C24" s="58" t="s">
        <v>658</v>
      </c>
      <c r="D24" s="59"/>
      <c r="E24" s="60"/>
      <c r="F24" s="60"/>
      <c r="G24" s="60" t="s">
        <v>840</v>
      </c>
      <c r="H24" s="62"/>
      <c r="I24" s="145" t="s">
        <v>836</v>
      </c>
      <c r="J24" s="61"/>
      <c r="K24" s="61"/>
      <c r="L24" s="123"/>
      <c r="M24" s="61"/>
      <c r="N24" s="145" t="s">
        <v>836</v>
      </c>
      <c r="O24" s="61"/>
      <c r="P24" s="61"/>
      <c r="Q24" s="61"/>
      <c r="R24" s="61"/>
      <c r="S24" s="61"/>
      <c r="T24" s="61"/>
      <c r="U24" s="63"/>
      <c r="V24" s="64">
        <v>45111</v>
      </c>
      <c r="W24" s="61">
        <v>3</v>
      </c>
      <c r="X24" s="140">
        <f t="shared" ref="X24:X25" si="9">IF(AND(V24="",W24="")=TRUE,"",WORKDAY(V24,W24-1,Holidays))</f>
        <v>45113</v>
      </c>
      <c r="Y24" s="64">
        <v>45113</v>
      </c>
      <c r="Z24" s="126">
        <f t="shared" ref="Z24:Z33" ca="1" si="10">IF(AND(Y24="",AA24="")=TRUE,"",IF(AND(Y24&gt;0,AA24="")=TRUE,NETWORKDAYS(Y24,TODAY(),Holidays),NETWORKDAYS(Y24,AA24,Holidays)))</f>
        <v>2</v>
      </c>
      <c r="AA24" s="65">
        <v>45114</v>
      </c>
      <c r="AB24" s="66">
        <v>1</v>
      </c>
      <c r="AC24" s="125" t="str">
        <f t="shared" si="2"/>
        <v>Completed</v>
      </c>
      <c r="AD24" s="152"/>
      <c r="AE24" s="80">
        <v>45099</v>
      </c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1"/>
      <c r="CG24" s="81"/>
      <c r="CH24" s="81"/>
      <c r="CI24" s="81"/>
      <c r="CJ24" s="81"/>
      <c r="CK24" s="81"/>
      <c r="CL24" s="81"/>
      <c r="CM24" s="81"/>
      <c r="CN24" s="81"/>
      <c r="CO24" s="81"/>
      <c r="CP24" s="81"/>
      <c r="CQ24" s="81"/>
      <c r="CR24" s="81"/>
      <c r="CS24" s="81"/>
      <c r="CT24" s="81"/>
      <c r="CU24" s="81"/>
      <c r="CV24" s="81"/>
      <c r="CW24" s="81"/>
      <c r="CX24" s="81"/>
      <c r="CY24" s="81"/>
      <c r="CZ24" s="81"/>
      <c r="DA24" s="81"/>
      <c r="DB24" s="81"/>
      <c r="DC24" s="81"/>
      <c r="DD24" s="81"/>
      <c r="DE24" s="81"/>
      <c r="DF24" s="81"/>
      <c r="DG24" s="81"/>
      <c r="DH24" s="81"/>
      <c r="DI24" s="81"/>
      <c r="DJ24" s="81"/>
      <c r="DK24" s="81"/>
      <c r="DL24" s="81"/>
      <c r="DM24" s="81"/>
      <c r="DN24" s="81"/>
      <c r="DO24" s="81"/>
      <c r="DP24" s="81"/>
      <c r="DQ24" s="81"/>
      <c r="DR24" s="81"/>
      <c r="DS24" s="81"/>
      <c r="DT24" s="81"/>
      <c r="DU24" s="81"/>
      <c r="DV24" s="81"/>
      <c r="DW24" s="81"/>
      <c r="DX24" s="81"/>
      <c r="DY24" s="81"/>
      <c r="DZ24" s="81"/>
      <c r="EA24" s="81"/>
    </row>
    <row r="25" spans="2:131" ht="17.100000000000001" customHeight="1">
      <c r="B25" s="58">
        <v>4</v>
      </c>
      <c r="C25" s="58" t="s">
        <v>658</v>
      </c>
      <c r="D25" s="59"/>
      <c r="E25" s="60"/>
      <c r="F25" s="60"/>
      <c r="G25" s="60" t="s">
        <v>841</v>
      </c>
      <c r="H25" s="62"/>
      <c r="I25" s="145" t="s">
        <v>836</v>
      </c>
      <c r="J25" s="61"/>
      <c r="K25" s="61"/>
      <c r="L25" s="123"/>
      <c r="M25" s="61"/>
      <c r="N25" s="145" t="s">
        <v>836</v>
      </c>
      <c r="O25" s="61"/>
      <c r="P25" s="61"/>
      <c r="Q25" s="61"/>
      <c r="R25" s="61"/>
      <c r="S25" s="61"/>
      <c r="T25" s="61"/>
      <c r="U25" s="63"/>
      <c r="V25" s="64">
        <v>45114</v>
      </c>
      <c r="W25" s="61">
        <v>1</v>
      </c>
      <c r="X25" s="140">
        <f t="shared" si="9"/>
        <v>45114</v>
      </c>
      <c r="Y25" s="64">
        <v>45114</v>
      </c>
      <c r="Z25" s="126">
        <f t="shared" ca="1" si="10"/>
        <v>1</v>
      </c>
      <c r="AA25" s="65">
        <v>45114</v>
      </c>
      <c r="AB25" s="66">
        <v>1</v>
      </c>
      <c r="AC25" s="125" t="str">
        <f t="shared" si="2"/>
        <v>Completed</v>
      </c>
      <c r="AD25" s="152"/>
      <c r="AE25" s="80">
        <v>45100</v>
      </c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1"/>
      <c r="CG25" s="81"/>
      <c r="CH25" s="81"/>
      <c r="CI25" s="81"/>
      <c r="CJ25" s="81"/>
      <c r="CK25" s="81"/>
      <c r="CL25" s="81"/>
      <c r="CM25" s="81"/>
      <c r="CN25" s="81"/>
      <c r="CO25" s="81"/>
      <c r="CP25" s="81"/>
      <c r="CQ25" s="81"/>
      <c r="CR25" s="81"/>
      <c r="CS25" s="81"/>
      <c r="CT25" s="81"/>
      <c r="CU25" s="81"/>
      <c r="CV25" s="81"/>
      <c r="CW25" s="81"/>
      <c r="CX25" s="81"/>
      <c r="CY25" s="81"/>
      <c r="CZ25" s="81"/>
      <c r="DA25" s="81"/>
      <c r="DB25" s="81"/>
      <c r="DC25" s="81"/>
      <c r="DD25" s="81"/>
      <c r="DE25" s="81"/>
      <c r="DF25" s="81"/>
      <c r="DG25" s="81"/>
      <c r="DH25" s="81"/>
      <c r="DI25" s="81"/>
      <c r="DJ25" s="81"/>
      <c r="DK25" s="81"/>
      <c r="DL25" s="81"/>
      <c r="DM25" s="81"/>
      <c r="DN25" s="81"/>
      <c r="DO25" s="81"/>
      <c r="DP25" s="81"/>
      <c r="DQ25" s="81"/>
      <c r="DR25" s="81"/>
      <c r="DS25" s="81"/>
      <c r="DT25" s="81"/>
      <c r="DU25" s="81"/>
      <c r="DV25" s="81"/>
      <c r="DW25" s="81"/>
      <c r="DX25" s="81"/>
      <c r="DY25" s="81"/>
      <c r="DZ25" s="81"/>
      <c r="EA25" s="81"/>
    </row>
    <row r="26" spans="2:131" ht="17.100000000000001" customHeight="1">
      <c r="B26" s="92">
        <v>3</v>
      </c>
      <c r="C26" s="92" t="s">
        <v>655</v>
      </c>
      <c r="D26" s="93"/>
      <c r="E26" s="94"/>
      <c r="F26" s="94" t="s">
        <v>842</v>
      </c>
      <c r="G26" s="94"/>
      <c r="H26" s="95"/>
      <c r="I26" s="118" t="str">
        <f>IF(COUNTIF(I27:I28,"●")&gt;0,"●","")</f>
        <v>●</v>
      </c>
      <c r="J26" s="91" t="str">
        <f t="shared" ref="J26:K26" si="11">IF(COUNTIF(J27:J28,"●")&gt;0,"●","")</f>
        <v/>
      </c>
      <c r="K26" s="91" t="str">
        <f t="shared" si="11"/>
        <v/>
      </c>
      <c r="L26" s="118" t="str">
        <f>IF(COUNTIF(L27:L28,"●")&gt;0,"●","")</f>
        <v/>
      </c>
      <c r="M26" s="91" t="str">
        <f t="shared" ref="M26:U26" si="12">IF(COUNTIF(M27:M28,"●")&gt;0,"●","")</f>
        <v/>
      </c>
      <c r="N26" s="144" t="str">
        <f t="shared" si="12"/>
        <v>●</v>
      </c>
      <c r="O26" s="144" t="str">
        <f t="shared" si="12"/>
        <v/>
      </c>
      <c r="P26" s="144" t="str">
        <f t="shared" ref="P26" si="13">IF(COUNTIF(P27:P28,"●")&gt;0,"●","")</f>
        <v/>
      </c>
      <c r="Q26" s="144" t="str">
        <f t="shared" si="12"/>
        <v/>
      </c>
      <c r="R26" s="144" t="str">
        <f t="shared" si="12"/>
        <v/>
      </c>
      <c r="S26" s="144" t="str">
        <f t="shared" si="12"/>
        <v/>
      </c>
      <c r="T26" s="144" t="str">
        <f t="shared" si="12"/>
        <v/>
      </c>
      <c r="U26" s="144" t="str">
        <f t="shared" si="12"/>
        <v/>
      </c>
      <c r="V26" s="96">
        <f>IF(MIN(V27:V28)=0,"",MIN(V27:V28))</f>
        <v>45117</v>
      </c>
      <c r="W26" s="97">
        <f ca="1">IF(AND(V26="",X26="")=TRUE,"",IF(AND(V26&gt;0,X26="")=TRUE,NETWORKDAYS(V26,TODAY(),Holidays),NETWORKDAYS(V26,X26,Holidays)))</f>
        <v>20</v>
      </c>
      <c r="X26" s="138">
        <f>IF(MAX(X27:X28)=0,"",MAX(X27:X28))</f>
        <v>45142</v>
      </c>
      <c r="Y26" s="96">
        <f>IF(MIN(Y27:Y28)=0,"",MIN(Y27:Y28))</f>
        <v>45117</v>
      </c>
      <c r="Z26" s="97">
        <f t="shared" ref="Z26:Z28" ca="1" si="14">IF(AND(Y26="",AA26="")=TRUE,"",IF(AND(Y26&gt;0,AA26="")=TRUE,NETWORKDAYS(Y26,TODAY(),Holidays),NETWORKDAYS(Y26,AA26,Holidays)))</f>
        <v>10</v>
      </c>
      <c r="AA26" s="98">
        <f>IF(MAX(AA27:AA28)=0,"",MAX(AA27:AA28))</f>
        <v>45128</v>
      </c>
      <c r="AB26" s="99">
        <f>IFERROR(AVERAGE(AB27:AB28),"")</f>
        <v>1</v>
      </c>
      <c r="AC26" s="100" t="str">
        <f t="shared" si="2"/>
        <v>Completed</v>
      </c>
      <c r="AD26" s="154"/>
      <c r="AE26" s="80">
        <v>45103</v>
      </c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1"/>
      <c r="CG26" s="81"/>
      <c r="CH26" s="81"/>
      <c r="CI26" s="81"/>
      <c r="CJ26" s="81"/>
      <c r="CK26" s="81"/>
      <c r="CL26" s="81"/>
      <c r="CM26" s="81"/>
      <c r="CN26" s="81"/>
      <c r="CO26" s="81"/>
      <c r="CP26" s="81"/>
      <c r="CQ26" s="81"/>
      <c r="CR26" s="81"/>
      <c r="CS26" s="81"/>
      <c r="CT26" s="81"/>
      <c r="CU26" s="81"/>
      <c r="CV26" s="81"/>
      <c r="CW26" s="81"/>
      <c r="CX26" s="81"/>
      <c r="CY26" s="81"/>
      <c r="CZ26" s="81"/>
      <c r="DA26" s="81"/>
      <c r="DB26" s="81"/>
      <c r="DC26" s="81"/>
      <c r="DD26" s="81"/>
      <c r="DE26" s="81"/>
      <c r="DF26" s="81"/>
      <c r="DG26" s="81"/>
      <c r="DH26" s="81"/>
      <c r="DI26" s="81"/>
      <c r="DJ26" s="81"/>
      <c r="DK26" s="81"/>
      <c r="DL26" s="81"/>
      <c r="DM26" s="81"/>
      <c r="DN26" s="81"/>
      <c r="DO26" s="81"/>
      <c r="DP26" s="81"/>
      <c r="DQ26" s="81"/>
      <c r="DR26" s="81"/>
      <c r="DS26" s="81"/>
      <c r="DT26" s="81"/>
      <c r="DU26" s="81"/>
      <c r="DV26" s="81"/>
      <c r="DW26" s="81"/>
      <c r="DX26" s="81"/>
      <c r="DY26" s="81"/>
      <c r="DZ26" s="81"/>
      <c r="EA26" s="81"/>
    </row>
    <row r="27" spans="2:131" ht="16.5" customHeight="1">
      <c r="B27" s="58">
        <v>4</v>
      </c>
      <c r="C27" s="58" t="s">
        <v>658</v>
      </c>
      <c r="D27" s="59"/>
      <c r="E27" s="60"/>
      <c r="F27" s="60"/>
      <c r="G27" s="60" t="s">
        <v>843</v>
      </c>
      <c r="H27" s="62"/>
      <c r="I27" s="145" t="s">
        <v>836</v>
      </c>
      <c r="J27" s="61"/>
      <c r="K27" s="61"/>
      <c r="L27" s="123"/>
      <c r="M27" s="61"/>
      <c r="N27" s="145" t="s">
        <v>836</v>
      </c>
      <c r="O27" s="61"/>
      <c r="P27" s="61"/>
      <c r="Q27" s="61"/>
      <c r="R27" s="61"/>
      <c r="S27" s="61"/>
      <c r="T27" s="61"/>
      <c r="U27" s="63"/>
      <c r="V27" s="64">
        <v>45117</v>
      </c>
      <c r="W27" s="61">
        <v>10</v>
      </c>
      <c r="X27" s="140">
        <f t="shared" ref="X27:X28" si="15">IF(AND(V27="",W27="")=TRUE,"",WORKDAY(V27,W27-1,Holidays))</f>
        <v>45128</v>
      </c>
      <c r="Y27" s="64">
        <v>45117</v>
      </c>
      <c r="Z27" s="126">
        <f t="shared" ca="1" si="14"/>
        <v>10</v>
      </c>
      <c r="AA27" s="65">
        <v>45128</v>
      </c>
      <c r="AB27" s="66">
        <v>1</v>
      </c>
      <c r="AC27" s="125" t="str">
        <f t="shared" si="2"/>
        <v>Completed</v>
      </c>
      <c r="AD27" s="152"/>
      <c r="AE27" s="80">
        <v>45104</v>
      </c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1"/>
      <c r="CG27" s="81"/>
      <c r="CH27" s="81"/>
      <c r="CI27" s="81"/>
      <c r="CJ27" s="81"/>
      <c r="CK27" s="81"/>
      <c r="CL27" s="81"/>
      <c r="CM27" s="81"/>
      <c r="CN27" s="81"/>
      <c r="CO27" s="81"/>
      <c r="CP27" s="81"/>
      <c r="CQ27" s="81"/>
      <c r="CR27" s="81"/>
      <c r="CS27" s="81"/>
      <c r="CT27" s="81"/>
      <c r="CU27" s="81"/>
      <c r="CV27" s="81"/>
      <c r="CW27" s="81"/>
      <c r="CX27" s="81"/>
      <c r="CY27" s="81"/>
      <c r="CZ27" s="81"/>
      <c r="DA27" s="81"/>
      <c r="DB27" s="81"/>
      <c r="DC27" s="81"/>
      <c r="DD27" s="81"/>
      <c r="DE27" s="81"/>
      <c r="DF27" s="81"/>
      <c r="DG27" s="81"/>
      <c r="DH27" s="81"/>
      <c r="DI27" s="81"/>
      <c r="DJ27" s="81"/>
      <c r="DK27" s="81"/>
      <c r="DL27" s="81"/>
      <c r="DM27" s="81"/>
      <c r="DN27" s="81"/>
      <c r="DO27" s="81"/>
      <c r="DP27" s="81"/>
      <c r="DQ27" s="81"/>
      <c r="DR27" s="81"/>
      <c r="DS27" s="81"/>
      <c r="DT27" s="81"/>
      <c r="DU27" s="81"/>
      <c r="DV27" s="81"/>
      <c r="DW27" s="81"/>
      <c r="DX27" s="81"/>
      <c r="DY27" s="81"/>
      <c r="DZ27" s="81"/>
      <c r="EA27" s="81"/>
    </row>
    <row r="28" spans="2:131" ht="17.100000000000001" customHeight="1">
      <c r="B28" s="58">
        <v>4</v>
      </c>
      <c r="C28" s="58" t="s">
        <v>658</v>
      </c>
      <c r="D28" s="59"/>
      <c r="E28" s="60"/>
      <c r="F28" s="60"/>
      <c r="G28" s="60" t="s">
        <v>844</v>
      </c>
      <c r="H28" s="62"/>
      <c r="I28" s="145" t="s">
        <v>836</v>
      </c>
      <c r="J28" s="61"/>
      <c r="K28" s="61"/>
      <c r="L28" s="123"/>
      <c r="M28" s="61"/>
      <c r="N28" s="145" t="s">
        <v>836</v>
      </c>
      <c r="O28" s="61"/>
      <c r="P28" s="61"/>
      <c r="Q28" s="61"/>
      <c r="R28" s="61"/>
      <c r="S28" s="61"/>
      <c r="T28" s="61"/>
      <c r="U28" s="63"/>
      <c r="V28" s="64">
        <v>45131</v>
      </c>
      <c r="W28" s="61">
        <v>10</v>
      </c>
      <c r="X28" s="140">
        <f t="shared" si="15"/>
        <v>45142</v>
      </c>
      <c r="Y28" s="64">
        <v>45117</v>
      </c>
      <c r="Z28" s="126">
        <f t="shared" ca="1" si="14"/>
        <v>10</v>
      </c>
      <c r="AA28" s="65">
        <v>45128</v>
      </c>
      <c r="AB28" s="66">
        <v>1</v>
      </c>
      <c r="AC28" s="125" t="str">
        <f t="shared" si="2"/>
        <v>Completed</v>
      </c>
      <c r="AD28" s="152"/>
      <c r="AE28" s="80">
        <v>45105</v>
      </c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1"/>
      <c r="CG28" s="81"/>
      <c r="CH28" s="81"/>
      <c r="CI28" s="81"/>
      <c r="CJ28" s="81"/>
      <c r="CK28" s="81"/>
      <c r="CL28" s="81"/>
      <c r="CM28" s="81"/>
      <c r="CN28" s="81"/>
      <c r="CO28" s="81"/>
      <c r="CP28" s="81"/>
      <c r="CQ28" s="81"/>
      <c r="CR28" s="81"/>
      <c r="CS28" s="81"/>
      <c r="CT28" s="81"/>
      <c r="CU28" s="81"/>
      <c r="CV28" s="81"/>
      <c r="CW28" s="81"/>
      <c r="CX28" s="81"/>
      <c r="CY28" s="81"/>
      <c r="CZ28" s="81"/>
      <c r="DA28" s="81"/>
      <c r="DB28" s="81"/>
      <c r="DC28" s="81"/>
      <c r="DD28" s="81"/>
      <c r="DE28" s="81"/>
      <c r="DF28" s="81"/>
      <c r="DG28" s="81"/>
      <c r="DH28" s="81"/>
      <c r="DI28" s="81"/>
      <c r="DJ28" s="81"/>
      <c r="DK28" s="81"/>
      <c r="DL28" s="81"/>
      <c r="DM28" s="81"/>
      <c r="DN28" s="81"/>
      <c r="DO28" s="81"/>
      <c r="DP28" s="81"/>
      <c r="DQ28" s="81"/>
      <c r="DR28" s="81"/>
      <c r="DS28" s="81"/>
      <c r="DT28" s="81"/>
      <c r="DU28" s="81"/>
      <c r="DV28" s="81"/>
      <c r="DW28" s="81"/>
      <c r="DX28" s="81"/>
      <c r="DY28" s="81"/>
      <c r="DZ28" s="81"/>
      <c r="EA28" s="81"/>
    </row>
    <row r="29" spans="2:131" ht="17.100000000000001" customHeight="1">
      <c r="B29" s="92">
        <v>3</v>
      </c>
      <c r="C29" s="92" t="s">
        <v>655</v>
      </c>
      <c r="D29" s="93"/>
      <c r="E29" s="94"/>
      <c r="F29" s="94" t="s">
        <v>845</v>
      </c>
      <c r="G29" s="94"/>
      <c r="H29" s="95"/>
      <c r="I29" s="118" t="str">
        <f t="shared" ref="I29:U29" si="16">IF(COUNTIF(I30:I34,"●")&gt;0,"●","")</f>
        <v/>
      </c>
      <c r="J29" s="91" t="str">
        <f t="shared" si="16"/>
        <v>●</v>
      </c>
      <c r="K29" s="91" t="str">
        <f t="shared" si="16"/>
        <v/>
      </c>
      <c r="L29" s="118" t="str">
        <f t="shared" si="16"/>
        <v/>
      </c>
      <c r="M29" s="91" t="str">
        <f t="shared" si="16"/>
        <v/>
      </c>
      <c r="N29" s="144" t="str">
        <f t="shared" si="16"/>
        <v>●</v>
      </c>
      <c r="O29" s="144" t="str">
        <f t="shared" si="16"/>
        <v/>
      </c>
      <c r="P29" s="144" t="str">
        <f t="shared" ref="P29" si="17">IF(COUNTIF(P30:P34,"●")&gt;0,"●","")</f>
        <v/>
      </c>
      <c r="Q29" s="144" t="str">
        <f t="shared" si="16"/>
        <v/>
      </c>
      <c r="R29" s="144" t="str">
        <f t="shared" si="16"/>
        <v/>
      </c>
      <c r="S29" s="144" t="str">
        <f t="shared" si="16"/>
        <v/>
      </c>
      <c r="T29" s="144" t="str">
        <f t="shared" si="16"/>
        <v/>
      </c>
      <c r="U29" s="144" t="str">
        <f t="shared" si="16"/>
        <v/>
      </c>
      <c r="V29" s="96">
        <f>IF(MIN(V30:V34)=0,"",MIN(V30:V34))</f>
        <v>45127</v>
      </c>
      <c r="W29" s="97">
        <f ca="1">IF(AND(V29="",X29="")=TRUE,"",IF(AND(V29&gt;0,X29="")=TRUE,NETWORKDAYS(V29,TODAY(),Holidays),NETWORKDAYS(V29,X29,Holidays)))</f>
        <v>12</v>
      </c>
      <c r="X29" s="138">
        <f>IF(MAX(X30:X34)=0,"",MAX(X30:X34))</f>
        <v>45142</v>
      </c>
      <c r="Y29" s="96">
        <f>IF(MIN(Y30:Y34)=0,"",MIN(Y30:Y34))</f>
        <v>45117</v>
      </c>
      <c r="Z29" s="97">
        <f t="shared" ca="1" si="10"/>
        <v>20</v>
      </c>
      <c r="AA29" s="98">
        <f>IF(MAX(AA30:AA34)=0,"",MAX(AA30:AA34))</f>
        <v>45142</v>
      </c>
      <c r="AB29" s="99">
        <f>IFERROR(AVERAGE(AB30:AB34),"")</f>
        <v>1</v>
      </c>
      <c r="AC29" s="100" t="str">
        <f t="shared" si="2"/>
        <v>Completed</v>
      </c>
      <c r="AD29" s="154"/>
      <c r="AE29" s="80">
        <v>45106</v>
      </c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1"/>
      <c r="CG29" s="81"/>
      <c r="CH29" s="81"/>
      <c r="CI29" s="81"/>
      <c r="CJ29" s="81"/>
      <c r="CK29" s="81"/>
      <c r="CL29" s="81"/>
      <c r="CM29" s="81"/>
      <c r="CN29" s="81"/>
      <c r="CO29" s="81"/>
      <c r="CP29" s="81"/>
      <c r="CQ29" s="81"/>
      <c r="CR29" s="81"/>
      <c r="CS29" s="81"/>
      <c r="CT29" s="81"/>
      <c r="CU29" s="81"/>
      <c r="CV29" s="81"/>
      <c r="CW29" s="81"/>
      <c r="CX29" s="81"/>
      <c r="CY29" s="81"/>
      <c r="CZ29" s="81"/>
      <c r="DA29" s="81"/>
      <c r="DB29" s="81"/>
      <c r="DC29" s="81"/>
      <c r="DD29" s="81"/>
      <c r="DE29" s="81"/>
      <c r="DF29" s="81"/>
      <c r="DG29" s="81"/>
      <c r="DH29" s="81"/>
      <c r="DI29" s="81"/>
      <c r="DJ29" s="81"/>
      <c r="DK29" s="81"/>
      <c r="DL29" s="81"/>
      <c r="DM29" s="81"/>
      <c r="DN29" s="81"/>
      <c r="DO29" s="81"/>
      <c r="DP29" s="81"/>
      <c r="DQ29" s="81"/>
      <c r="DR29" s="81"/>
      <c r="DS29" s="81"/>
      <c r="DT29" s="81"/>
      <c r="DU29" s="81"/>
      <c r="DV29" s="81"/>
      <c r="DW29" s="81"/>
      <c r="DX29" s="81"/>
      <c r="DY29" s="81"/>
      <c r="DZ29" s="81"/>
      <c r="EA29" s="81"/>
    </row>
    <row r="30" spans="2:131" ht="17.100000000000001" customHeight="1">
      <c r="B30" s="58">
        <v>4</v>
      </c>
      <c r="C30" s="58" t="s">
        <v>658</v>
      </c>
      <c r="D30" s="59"/>
      <c r="E30" s="60"/>
      <c r="F30" s="60"/>
      <c r="G30" s="60" t="s">
        <v>846</v>
      </c>
      <c r="H30" s="62"/>
      <c r="I30" s="123"/>
      <c r="J30" s="145" t="s">
        <v>836</v>
      </c>
      <c r="K30" s="61"/>
      <c r="L30" s="123"/>
      <c r="M30" s="61"/>
      <c r="N30" s="145" t="s">
        <v>836</v>
      </c>
      <c r="O30" s="61"/>
      <c r="P30" s="61"/>
      <c r="Q30" s="61"/>
      <c r="R30" s="61"/>
      <c r="S30" s="61"/>
      <c r="T30" s="61"/>
      <c r="U30" s="63"/>
      <c r="V30" s="64">
        <v>45127</v>
      </c>
      <c r="W30" s="61">
        <v>3</v>
      </c>
      <c r="X30" s="140">
        <f t="shared" ref="X30:X34" si="18">IF(AND(V30="",W30="")=TRUE,"",WORKDAY(V30,W30-1,Holidays))</f>
        <v>45131</v>
      </c>
      <c r="Y30" s="64">
        <v>45117</v>
      </c>
      <c r="Z30" s="126">
        <f t="shared" ca="1" si="10"/>
        <v>10</v>
      </c>
      <c r="AA30" s="65">
        <v>45128</v>
      </c>
      <c r="AB30" s="66">
        <v>1</v>
      </c>
      <c r="AC30" s="125" t="str">
        <f t="shared" si="2"/>
        <v>Completed</v>
      </c>
      <c r="AD30" s="152"/>
      <c r="AE30" s="80">
        <v>45107</v>
      </c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1"/>
      <c r="CF30" s="81"/>
      <c r="CG30" s="81"/>
      <c r="CH30" s="81"/>
      <c r="CI30" s="81"/>
      <c r="CJ30" s="81"/>
      <c r="CK30" s="81"/>
      <c r="CL30" s="81"/>
      <c r="CM30" s="81"/>
      <c r="CN30" s="81"/>
      <c r="CO30" s="81"/>
      <c r="CP30" s="81"/>
      <c r="CQ30" s="81"/>
      <c r="CR30" s="81"/>
      <c r="CS30" s="81"/>
      <c r="CT30" s="81"/>
      <c r="CU30" s="81"/>
      <c r="CV30" s="81"/>
      <c r="CW30" s="81"/>
      <c r="CX30" s="81"/>
      <c r="CY30" s="81"/>
      <c r="CZ30" s="81"/>
      <c r="DA30" s="81"/>
      <c r="DB30" s="81"/>
      <c r="DC30" s="81"/>
      <c r="DD30" s="81"/>
      <c r="DE30" s="81"/>
      <c r="DF30" s="81"/>
      <c r="DG30" s="81"/>
      <c r="DH30" s="81"/>
      <c r="DI30" s="81"/>
      <c r="DJ30" s="81"/>
      <c r="DK30" s="81"/>
      <c r="DL30" s="81"/>
      <c r="DM30" s="81"/>
      <c r="DN30" s="81"/>
      <c r="DO30" s="81"/>
      <c r="DP30" s="81"/>
      <c r="DQ30" s="81"/>
      <c r="DR30" s="81"/>
      <c r="DS30" s="81"/>
      <c r="DT30" s="81"/>
      <c r="DU30" s="81"/>
      <c r="DV30" s="81"/>
      <c r="DW30" s="81"/>
      <c r="DX30" s="81"/>
      <c r="DY30" s="81"/>
      <c r="DZ30" s="81"/>
      <c r="EA30" s="81"/>
    </row>
    <row r="31" spans="2:131" ht="17.100000000000001" customHeight="1">
      <c r="B31" s="58">
        <v>4</v>
      </c>
      <c r="C31" s="58" t="s">
        <v>658</v>
      </c>
      <c r="D31" s="59"/>
      <c r="E31" s="60"/>
      <c r="F31" s="60"/>
      <c r="G31" s="60" t="s">
        <v>847</v>
      </c>
      <c r="H31" s="62"/>
      <c r="I31" s="123"/>
      <c r="J31" s="145" t="s">
        <v>836</v>
      </c>
      <c r="K31" s="61"/>
      <c r="L31" s="123"/>
      <c r="M31" s="61"/>
      <c r="N31" s="145" t="s">
        <v>836</v>
      </c>
      <c r="O31" s="61"/>
      <c r="P31" s="61"/>
      <c r="Q31" s="61"/>
      <c r="R31" s="61"/>
      <c r="S31" s="61"/>
      <c r="T31" s="61"/>
      <c r="U31" s="63"/>
      <c r="V31" s="64">
        <v>45132</v>
      </c>
      <c r="W31" s="61">
        <v>3</v>
      </c>
      <c r="X31" s="140">
        <f t="shared" si="18"/>
        <v>45134</v>
      </c>
      <c r="Y31" s="64">
        <v>45117</v>
      </c>
      <c r="Z31" s="126">
        <f t="shared" ca="1" si="10"/>
        <v>20</v>
      </c>
      <c r="AA31" s="65">
        <v>45142</v>
      </c>
      <c r="AB31" s="66">
        <v>1</v>
      </c>
      <c r="AC31" s="125" t="str">
        <f t="shared" si="2"/>
        <v>Completed</v>
      </c>
      <c r="AD31" s="152" t="s">
        <v>945</v>
      </c>
      <c r="AE31" s="80">
        <v>45110</v>
      </c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1"/>
      <c r="CF31" s="81"/>
      <c r="CG31" s="81"/>
      <c r="CH31" s="81"/>
      <c r="CI31" s="81"/>
      <c r="CJ31" s="81"/>
      <c r="CK31" s="81"/>
      <c r="CL31" s="81"/>
      <c r="CM31" s="81"/>
      <c r="CN31" s="81"/>
      <c r="CO31" s="81"/>
      <c r="CP31" s="81"/>
      <c r="CQ31" s="81"/>
      <c r="CR31" s="81"/>
      <c r="CS31" s="81"/>
      <c r="CT31" s="81"/>
      <c r="CU31" s="81"/>
      <c r="CV31" s="81"/>
      <c r="CW31" s="81"/>
      <c r="CX31" s="81"/>
      <c r="CY31" s="81"/>
      <c r="CZ31" s="81"/>
      <c r="DA31" s="81"/>
      <c r="DB31" s="81"/>
      <c r="DC31" s="81"/>
      <c r="DD31" s="81"/>
      <c r="DE31" s="81"/>
      <c r="DF31" s="81"/>
      <c r="DG31" s="81"/>
      <c r="DH31" s="81"/>
      <c r="DI31" s="81"/>
      <c r="DJ31" s="81"/>
      <c r="DK31" s="81"/>
      <c r="DL31" s="81"/>
      <c r="DM31" s="81"/>
      <c r="DN31" s="81"/>
      <c r="DO31" s="81"/>
      <c r="DP31" s="81"/>
      <c r="DQ31" s="81"/>
      <c r="DR31" s="81"/>
      <c r="DS31" s="81"/>
      <c r="DT31" s="81"/>
      <c r="DU31" s="81"/>
      <c r="DV31" s="81"/>
      <c r="DW31" s="81"/>
      <c r="DX31" s="81"/>
      <c r="DY31" s="81"/>
      <c r="DZ31" s="81"/>
      <c r="EA31" s="81"/>
    </row>
    <row r="32" spans="2:131" ht="17.100000000000001" customHeight="1">
      <c r="B32" s="58">
        <v>4</v>
      </c>
      <c r="C32" s="58" t="s">
        <v>658</v>
      </c>
      <c r="D32" s="59"/>
      <c r="E32" s="60"/>
      <c r="F32" s="60"/>
      <c r="G32" s="60" t="s">
        <v>848</v>
      </c>
      <c r="H32" s="62"/>
      <c r="I32" s="123"/>
      <c r="J32" s="145" t="s">
        <v>836</v>
      </c>
      <c r="K32" s="61"/>
      <c r="L32" s="123"/>
      <c r="M32" s="61"/>
      <c r="N32" s="145" t="s">
        <v>836</v>
      </c>
      <c r="O32" s="61"/>
      <c r="P32" s="61"/>
      <c r="Q32" s="61"/>
      <c r="R32" s="61"/>
      <c r="S32" s="61"/>
      <c r="T32" s="61"/>
      <c r="U32" s="63"/>
      <c r="V32" s="64">
        <v>45135</v>
      </c>
      <c r="W32" s="61">
        <v>3</v>
      </c>
      <c r="X32" s="140">
        <f t="shared" si="18"/>
        <v>45139</v>
      </c>
      <c r="Y32" s="64">
        <v>45117</v>
      </c>
      <c r="Z32" s="126">
        <f t="shared" ca="1" si="10"/>
        <v>20</v>
      </c>
      <c r="AA32" s="65">
        <v>45142</v>
      </c>
      <c r="AB32" s="66">
        <v>1</v>
      </c>
      <c r="AC32" s="125" t="str">
        <f t="shared" si="2"/>
        <v>Completed</v>
      </c>
      <c r="AD32" s="152" t="s">
        <v>945</v>
      </c>
      <c r="AE32" s="80">
        <v>45111</v>
      </c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1"/>
      <c r="CF32" s="81"/>
      <c r="CG32" s="81"/>
      <c r="CH32" s="81"/>
      <c r="CI32" s="81"/>
      <c r="CJ32" s="81"/>
      <c r="CK32" s="81"/>
      <c r="CL32" s="81"/>
      <c r="CM32" s="81"/>
      <c r="CN32" s="81"/>
      <c r="CO32" s="81"/>
      <c r="CP32" s="81"/>
      <c r="CQ32" s="81"/>
      <c r="CR32" s="81"/>
      <c r="CS32" s="81"/>
      <c r="CT32" s="81"/>
      <c r="CU32" s="81"/>
      <c r="CV32" s="81"/>
      <c r="CW32" s="81"/>
      <c r="CX32" s="81"/>
      <c r="CY32" s="81"/>
      <c r="CZ32" s="81"/>
      <c r="DA32" s="81"/>
      <c r="DB32" s="81"/>
      <c r="DC32" s="81"/>
      <c r="DD32" s="81"/>
      <c r="DE32" s="81"/>
      <c r="DF32" s="81"/>
      <c r="DG32" s="81"/>
      <c r="DH32" s="81"/>
      <c r="DI32" s="81"/>
      <c r="DJ32" s="81"/>
      <c r="DK32" s="81"/>
      <c r="DL32" s="81"/>
      <c r="DM32" s="81"/>
      <c r="DN32" s="81"/>
      <c r="DO32" s="81"/>
      <c r="DP32" s="81"/>
      <c r="DQ32" s="81"/>
      <c r="DR32" s="81"/>
      <c r="DS32" s="81"/>
      <c r="DT32" s="81"/>
      <c r="DU32" s="81"/>
      <c r="DV32" s="81"/>
      <c r="DW32" s="81"/>
      <c r="DX32" s="81"/>
      <c r="DY32" s="81"/>
      <c r="DZ32" s="81"/>
      <c r="EA32" s="81"/>
    </row>
    <row r="33" spans="2:131" ht="17.100000000000001" customHeight="1">
      <c r="B33" s="58">
        <v>4</v>
      </c>
      <c r="C33" s="58" t="s">
        <v>658</v>
      </c>
      <c r="D33" s="59"/>
      <c r="E33" s="60"/>
      <c r="F33" s="60"/>
      <c r="G33" s="60" t="s">
        <v>849</v>
      </c>
      <c r="H33" s="62"/>
      <c r="I33" s="123"/>
      <c r="J33" s="145" t="s">
        <v>836</v>
      </c>
      <c r="K33" s="61"/>
      <c r="L33" s="123"/>
      <c r="M33" s="61"/>
      <c r="N33" s="145" t="s">
        <v>836</v>
      </c>
      <c r="O33" s="61"/>
      <c r="P33" s="61"/>
      <c r="Q33" s="61"/>
      <c r="R33" s="61"/>
      <c r="S33" s="61"/>
      <c r="T33" s="61"/>
      <c r="U33" s="63"/>
      <c r="V33" s="64">
        <v>45140</v>
      </c>
      <c r="W33" s="61">
        <v>2</v>
      </c>
      <c r="X33" s="140">
        <f t="shared" si="18"/>
        <v>45141</v>
      </c>
      <c r="Y33" s="64">
        <v>45117</v>
      </c>
      <c r="Z33" s="126">
        <f t="shared" ca="1" si="10"/>
        <v>10</v>
      </c>
      <c r="AA33" s="65">
        <v>45128</v>
      </c>
      <c r="AB33" s="66">
        <v>1</v>
      </c>
      <c r="AC33" s="125" t="str">
        <f t="shared" si="2"/>
        <v>Completed</v>
      </c>
      <c r="AD33" s="152"/>
      <c r="AE33" s="80">
        <v>45112</v>
      </c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F33" s="81"/>
      <c r="CG33" s="81"/>
      <c r="CH33" s="81"/>
      <c r="CI33" s="81"/>
      <c r="CJ33" s="81"/>
      <c r="CK33" s="81"/>
      <c r="CL33" s="81"/>
      <c r="CM33" s="81"/>
      <c r="CN33" s="81"/>
      <c r="CO33" s="81"/>
      <c r="CP33" s="81"/>
      <c r="CQ33" s="81"/>
      <c r="CR33" s="81"/>
      <c r="CS33" s="81"/>
      <c r="CT33" s="81"/>
      <c r="CU33" s="81"/>
      <c r="CV33" s="81"/>
      <c r="CW33" s="81"/>
      <c r="CX33" s="81"/>
      <c r="CY33" s="81"/>
      <c r="CZ33" s="81"/>
      <c r="DA33" s="81"/>
      <c r="DB33" s="81"/>
      <c r="DC33" s="81"/>
      <c r="DD33" s="81"/>
      <c r="DE33" s="81"/>
      <c r="DF33" s="81"/>
      <c r="DG33" s="81"/>
      <c r="DH33" s="81"/>
      <c r="DI33" s="81"/>
      <c r="DJ33" s="81"/>
      <c r="DK33" s="81"/>
      <c r="DL33" s="81"/>
      <c r="DM33" s="81"/>
      <c r="DN33" s="81"/>
      <c r="DO33" s="81"/>
      <c r="DP33" s="81"/>
      <c r="DQ33" s="81"/>
      <c r="DR33" s="81"/>
      <c r="DS33" s="81"/>
      <c r="DT33" s="81"/>
      <c r="DU33" s="81"/>
      <c r="DV33" s="81"/>
      <c r="DW33" s="81"/>
      <c r="DX33" s="81"/>
      <c r="DY33" s="81"/>
      <c r="DZ33" s="81"/>
      <c r="EA33" s="81"/>
    </row>
    <row r="34" spans="2:131" ht="17.100000000000001" customHeight="1">
      <c r="B34" s="58">
        <v>4</v>
      </c>
      <c r="C34" s="58" t="s">
        <v>658</v>
      </c>
      <c r="D34" s="59"/>
      <c r="E34" s="60"/>
      <c r="F34" s="60"/>
      <c r="G34" s="60" t="s">
        <v>850</v>
      </c>
      <c r="H34" s="62"/>
      <c r="I34" s="123"/>
      <c r="J34" s="145" t="s">
        <v>836</v>
      </c>
      <c r="K34" s="61"/>
      <c r="L34" s="123"/>
      <c r="M34" s="61"/>
      <c r="N34" s="145" t="s">
        <v>836</v>
      </c>
      <c r="O34" s="61"/>
      <c r="P34" s="61"/>
      <c r="Q34" s="61"/>
      <c r="R34" s="61"/>
      <c r="S34" s="61"/>
      <c r="T34" s="61"/>
      <c r="U34" s="63"/>
      <c r="V34" s="64">
        <v>45142</v>
      </c>
      <c r="W34" s="61">
        <v>1</v>
      </c>
      <c r="X34" s="140">
        <f t="shared" si="18"/>
        <v>45142</v>
      </c>
      <c r="Y34" s="64">
        <v>45138</v>
      </c>
      <c r="Z34" s="126">
        <f t="shared" ref="Z34:Z43" ca="1" si="19">IF(AND(Y34="",AA34="")=TRUE,"",IF(AND(Y34&gt;0,AA34="")=TRUE,NETWORKDAYS(Y34,TODAY(),Holidays),NETWORKDAYS(Y34,AA34,Holidays)))</f>
        <v>5</v>
      </c>
      <c r="AA34" s="65">
        <v>45142</v>
      </c>
      <c r="AB34" s="66">
        <v>1</v>
      </c>
      <c r="AC34" s="125" t="str">
        <f t="shared" si="2"/>
        <v>Completed</v>
      </c>
      <c r="AD34" s="152" t="s">
        <v>946</v>
      </c>
      <c r="AE34" s="80">
        <v>45113</v>
      </c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  <c r="BA34" s="81"/>
      <c r="BB34" s="81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1"/>
      <c r="CF34" s="81"/>
      <c r="CG34" s="81"/>
      <c r="CH34" s="81"/>
      <c r="CI34" s="81"/>
      <c r="CJ34" s="81"/>
      <c r="CK34" s="81"/>
      <c r="CL34" s="81"/>
      <c r="CM34" s="81"/>
      <c r="CN34" s="81"/>
      <c r="CO34" s="81"/>
      <c r="CP34" s="81"/>
      <c r="CQ34" s="81"/>
      <c r="CR34" s="81"/>
      <c r="CS34" s="81"/>
      <c r="CT34" s="81"/>
      <c r="CU34" s="81"/>
      <c r="CV34" s="81"/>
      <c r="CW34" s="81"/>
      <c r="CX34" s="81"/>
      <c r="CY34" s="81"/>
      <c r="CZ34" s="81"/>
      <c r="DA34" s="81"/>
      <c r="DB34" s="81"/>
      <c r="DC34" s="81"/>
      <c r="DD34" s="81"/>
      <c r="DE34" s="81"/>
      <c r="DF34" s="81"/>
      <c r="DG34" s="81"/>
      <c r="DH34" s="81"/>
      <c r="DI34" s="81"/>
      <c r="DJ34" s="81"/>
      <c r="DK34" s="81"/>
      <c r="DL34" s="81"/>
      <c r="DM34" s="81"/>
      <c r="DN34" s="81"/>
      <c r="DO34" s="81"/>
      <c r="DP34" s="81"/>
      <c r="DQ34" s="81"/>
      <c r="DR34" s="81"/>
      <c r="DS34" s="81"/>
      <c r="DT34" s="81"/>
      <c r="DU34" s="81"/>
      <c r="DV34" s="81"/>
      <c r="DW34" s="81"/>
      <c r="DX34" s="81"/>
      <c r="DY34" s="81"/>
      <c r="DZ34" s="81"/>
      <c r="EA34" s="81"/>
    </row>
    <row r="35" spans="2:131" ht="17.100000000000001" customHeight="1">
      <c r="B35" s="92">
        <v>3</v>
      </c>
      <c r="C35" s="92" t="s">
        <v>655</v>
      </c>
      <c r="D35" s="93"/>
      <c r="E35" s="94"/>
      <c r="F35" s="94" t="s">
        <v>852</v>
      </c>
      <c r="G35" s="94"/>
      <c r="H35" s="95"/>
      <c r="I35" s="118" t="str">
        <f>IF(COUNTIF(I36:I38,"●")&gt;0,"●","")</f>
        <v/>
      </c>
      <c r="J35" s="91" t="str">
        <f t="shared" ref="J35:K35" si="20">IF(COUNTIF(J36:J38,"●")&gt;0,"●","")</f>
        <v/>
      </c>
      <c r="K35" s="91" t="str">
        <f t="shared" si="20"/>
        <v/>
      </c>
      <c r="L35" s="118" t="str">
        <f>IF(COUNTIF(L36:L38,"●")&gt;0,"●","")</f>
        <v/>
      </c>
      <c r="M35" s="91" t="str">
        <f t="shared" ref="M35:U35" si="21">IF(COUNTIF(M36:M38,"●")&gt;0,"●","")</f>
        <v/>
      </c>
      <c r="N35" s="144" t="str">
        <f t="shared" si="21"/>
        <v>●</v>
      </c>
      <c r="O35" s="144" t="str">
        <f t="shared" si="21"/>
        <v/>
      </c>
      <c r="P35" s="144" t="str">
        <f t="shared" ref="P35" si="22">IF(COUNTIF(P36:P38,"●")&gt;0,"●","")</f>
        <v/>
      </c>
      <c r="Q35" s="144" t="str">
        <f t="shared" si="21"/>
        <v/>
      </c>
      <c r="R35" s="144" t="str">
        <f t="shared" si="21"/>
        <v/>
      </c>
      <c r="S35" s="144" t="str">
        <f t="shared" si="21"/>
        <v/>
      </c>
      <c r="T35" s="144" t="str">
        <f t="shared" si="21"/>
        <v/>
      </c>
      <c r="U35" s="144" t="str">
        <f t="shared" si="21"/>
        <v/>
      </c>
      <c r="V35" s="96">
        <f>IF(MIN(V36:V38)=0,"",MIN(V36:V38))</f>
        <v>45120</v>
      </c>
      <c r="W35" s="97">
        <f ca="1">IF(AND(V35="",X35="")=TRUE,"",IF(AND(V35&gt;0,X35="")=TRUE,NETWORKDAYS(V35,TODAY(),Holidays),NETWORKDAYS(V35,X35,Holidays)))</f>
        <v>17</v>
      </c>
      <c r="X35" s="138">
        <f>IF(MAX(X36:X38)=0,"",MAX(X36:X38))</f>
        <v>45142</v>
      </c>
      <c r="Y35" s="96">
        <f>IF(MIN(Y36:Y38)=0,"",MIN(Y36:Y38))</f>
        <v>45120</v>
      </c>
      <c r="Z35" s="97">
        <f t="shared" ca="1" si="19"/>
        <v>24</v>
      </c>
      <c r="AA35" s="98">
        <f>IF(MAX(AA36:AA38)=0,"",MAX(AA36:AA38))</f>
        <v>45154</v>
      </c>
      <c r="AB35" s="99">
        <f>IFERROR(AVERAGE(AB36:AB38),"")</f>
        <v>1</v>
      </c>
      <c r="AC35" s="100" t="str">
        <f t="shared" si="2"/>
        <v>Completed</v>
      </c>
      <c r="AD35" s="154"/>
      <c r="AE35" s="80">
        <v>45114</v>
      </c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  <c r="BA35" s="81"/>
      <c r="BB35" s="81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1"/>
      <c r="CF35" s="81"/>
      <c r="CG35" s="81"/>
      <c r="CH35" s="81"/>
      <c r="CI35" s="81"/>
      <c r="CJ35" s="81"/>
      <c r="CK35" s="81"/>
      <c r="CL35" s="81"/>
      <c r="CM35" s="81"/>
      <c r="CN35" s="81"/>
      <c r="CO35" s="81"/>
      <c r="CP35" s="81"/>
      <c r="CQ35" s="81"/>
      <c r="CR35" s="81"/>
      <c r="CS35" s="81"/>
      <c r="CT35" s="81"/>
      <c r="CU35" s="81"/>
      <c r="CV35" s="81"/>
      <c r="CW35" s="81"/>
      <c r="CX35" s="81"/>
      <c r="CY35" s="81"/>
      <c r="CZ35" s="81"/>
      <c r="DA35" s="81"/>
      <c r="DB35" s="81"/>
      <c r="DC35" s="81"/>
      <c r="DD35" s="81"/>
      <c r="DE35" s="81"/>
      <c r="DF35" s="81"/>
      <c r="DG35" s="81"/>
      <c r="DH35" s="81"/>
      <c r="DI35" s="81"/>
      <c r="DJ35" s="81"/>
      <c r="DK35" s="81"/>
      <c r="DL35" s="81"/>
      <c r="DM35" s="81"/>
      <c r="DN35" s="81"/>
      <c r="DO35" s="81"/>
      <c r="DP35" s="81"/>
      <c r="DQ35" s="81"/>
      <c r="DR35" s="81"/>
      <c r="DS35" s="81"/>
      <c r="DT35" s="81"/>
      <c r="DU35" s="81"/>
      <c r="DV35" s="81"/>
      <c r="DW35" s="81"/>
      <c r="DX35" s="81"/>
      <c r="DY35" s="81"/>
      <c r="DZ35" s="81"/>
      <c r="EA35" s="81"/>
    </row>
    <row r="36" spans="2:131" ht="17.100000000000001" customHeight="1">
      <c r="B36" s="58">
        <v>4</v>
      </c>
      <c r="C36" s="58" t="s">
        <v>658</v>
      </c>
      <c r="D36" s="59"/>
      <c r="E36" s="60"/>
      <c r="F36" s="60"/>
      <c r="G36" s="60" t="s">
        <v>853</v>
      </c>
      <c r="H36" s="62"/>
      <c r="I36" s="123"/>
      <c r="J36" s="61"/>
      <c r="K36" s="61"/>
      <c r="L36" s="123"/>
      <c r="M36" s="61"/>
      <c r="N36" s="145" t="s">
        <v>836</v>
      </c>
      <c r="O36" s="61"/>
      <c r="P36" s="61"/>
      <c r="Q36" s="61"/>
      <c r="R36" s="61"/>
      <c r="S36" s="61"/>
      <c r="T36" s="61"/>
      <c r="U36" s="63"/>
      <c r="V36" s="64">
        <v>45120</v>
      </c>
      <c r="W36" s="61">
        <v>3</v>
      </c>
      <c r="X36" s="140">
        <f t="shared" ref="X36:X38" si="23">IF(AND(V36="",W36="")=TRUE,"",WORKDAY(V36,W36-1,Holidays))</f>
        <v>45124</v>
      </c>
      <c r="Y36" s="64">
        <v>45120</v>
      </c>
      <c r="Z36" s="126">
        <f t="shared" ca="1" si="19"/>
        <v>3</v>
      </c>
      <c r="AA36" s="65">
        <v>45124</v>
      </c>
      <c r="AB36" s="66">
        <v>1</v>
      </c>
      <c r="AC36" s="125" t="str">
        <f t="shared" si="2"/>
        <v>Completed</v>
      </c>
      <c r="AD36" s="152"/>
      <c r="AE36" s="80">
        <v>45117</v>
      </c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1"/>
      <c r="CF36" s="81"/>
      <c r="CG36" s="81"/>
      <c r="CH36" s="81"/>
      <c r="CI36" s="81"/>
      <c r="CJ36" s="81"/>
      <c r="CK36" s="81"/>
      <c r="CL36" s="81"/>
      <c r="CM36" s="81"/>
      <c r="CN36" s="81"/>
      <c r="CO36" s="81"/>
      <c r="CP36" s="81"/>
      <c r="CQ36" s="81"/>
      <c r="CR36" s="81"/>
      <c r="CS36" s="81"/>
      <c r="CT36" s="81"/>
      <c r="CU36" s="81"/>
      <c r="CV36" s="81"/>
      <c r="CW36" s="81"/>
      <c r="CX36" s="81"/>
      <c r="CY36" s="81"/>
      <c r="CZ36" s="81"/>
      <c r="DA36" s="81"/>
      <c r="DB36" s="81"/>
      <c r="DC36" s="81"/>
      <c r="DD36" s="81"/>
      <c r="DE36" s="81"/>
      <c r="DF36" s="81"/>
      <c r="DG36" s="81"/>
      <c r="DH36" s="81"/>
      <c r="DI36" s="81"/>
      <c r="DJ36" s="81"/>
      <c r="DK36" s="81"/>
      <c r="DL36" s="81"/>
      <c r="DM36" s="81"/>
      <c r="DN36" s="81"/>
      <c r="DO36" s="81"/>
      <c r="DP36" s="81"/>
      <c r="DQ36" s="81"/>
      <c r="DR36" s="81"/>
      <c r="DS36" s="81"/>
      <c r="DT36" s="81"/>
      <c r="DU36" s="81"/>
      <c r="DV36" s="81"/>
      <c r="DW36" s="81"/>
      <c r="DX36" s="81"/>
      <c r="DY36" s="81"/>
      <c r="DZ36" s="81"/>
      <c r="EA36" s="81"/>
    </row>
    <row r="37" spans="2:131" ht="17.100000000000001" customHeight="1">
      <c r="B37" s="58">
        <v>4</v>
      </c>
      <c r="C37" s="58" t="s">
        <v>658</v>
      </c>
      <c r="D37" s="59"/>
      <c r="E37" s="60"/>
      <c r="F37" s="60"/>
      <c r="G37" s="60" t="s">
        <v>854</v>
      </c>
      <c r="H37" s="62"/>
      <c r="I37" s="123"/>
      <c r="J37" s="61"/>
      <c r="K37" s="61"/>
      <c r="L37" s="123"/>
      <c r="M37" s="61"/>
      <c r="N37" s="145" t="s">
        <v>836</v>
      </c>
      <c r="O37" s="61"/>
      <c r="P37" s="61"/>
      <c r="Q37" s="61"/>
      <c r="R37" s="61"/>
      <c r="S37" s="61"/>
      <c r="T37" s="61"/>
      <c r="U37" s="63"/>
      <c r="V37" s="64">
        <v>45125</v>
      </c>
      <c r="W37" s="61">
        <v>9</v>
      </c>
      <c r="X37" s="140">
        <f t="shared" si="23"/>
        <v>45135</v>
      </c>
      <c r="Y37" s="64">
        <v>45120</v>
      </c>
      <c r="Z37" s="126">
        <f t="shared" ca="1" si="19"/>
        <v>7</v>
      </c>
      <c r="AA37" s="65">
        <v>45128</v>
      </c>
      <c r="AB37" s="66">
        <v>1</v>
      </c>
      <c r="AC37" s="125" t="str">
        <f t="shared" si="2"/>
        <v>Completed</v>
      </c>
      <c r="AD37" s="152"/>
      <c r="AE37" s="80">
        <v>45118</v>
      </c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1"/>
      <c r="CI37" s="81"/>
      <c r="CJ37" s="81"/>
      <c r="CK37" s="81"/>
      <c r="CL37" s="81"/>
      <c r="CM37" s="81"/>
      <c r="CN37" s="81"/>
      <c r="CO37" s="81"/>
      <c r="CP37" s="81"/>
      <c r="CQ37" s="81"/>
      <c r="CR37" s="81"/>
      <c r="CS37" s="81"/>
      <c r="CT37" s="81"/>
      <c r="CU37" s="81"/>
      <c r="CV37" s="81"/>
      <c r="CW37" s="81"/>
      <c r="CX37" s="81"/>
      <c r="CY37" s="81"/>
      <c r="CZ37" s="81"/>
      <c r="DA37" s="81"/>
      <c r="DB37" s="81"/>
      <c r="DC37" s="81"/>
      <c r="DD37" s="81"/>
      <c r="DE37" s="81"/>
      <c r="DF37" s="81"/>
      <c r="DG37" s="81"/>
      <c r="DH37" s="81"/>
      <c r="DI37" s="81"/>
      <c r="DJ37" s="81"/>
      <c r="DK37" s="81"/>
      <c r="DL37" s="81"/>
      <c r="DM37" s="81"/>
      <c r="DN37" s="81"/>
      <c r="DO37" s="81"/>
      <c r="DP37" s="81"/>
      <c r="DQ37" s="81"/>
      <c r="DR37" s="81"/>
      <c r="DS37" s="81"/>
      <c r="DT37" s="81"/>
      <c r="DU37" s="81"/>
      <c r="DV37" s="81"/>
      <c r="DW37" s="81"/>
      <c r="DX37" s="81"/>
      <c r="DY37" s="81"/>
      <c r="DZ37" s="81"/>
      <c r="EA37" s="81"/>
    </row>
    <row r="38" spans="2:131" ht="16.5" customHeight="1">
      <c r="B38" s="58">
        <v>4</v>
      </c>
      <c r="C38" s="58" t="s">
        <v>658</v>
      </c>
      <c r="D38" s="59"/>
      <c r="E38" s="60"/>
      <c r="F38" s="60"/>
      <c r="G38" s="60" t="s">
        <v>947</v>
      </c>
      <c r="H38" s="62"/>
      <c r="I38" s="123"/>
      <c r="J38" s="61"/>
      <c r="K38" s="61"/>
      <c r="L38" s="123"/>
      <c r="M38" s="61"/>
      <c r="N38" s="145" t="s">
        <v>836</v>
      </c>
      <c r="O38" s="61"/>
      <c r="P38" s="61"/>
      <c r="Q38" s="61"/>
      <c r="R38" s="61"/>
      <c r="S38" s="61"/>
      <c r="T38" s="61"/>
      <c r="U38" s="63"/>
      <c r="V38" s="64">
        <v>45138</v>
      </c>
      <c r="W38" s="61">
        <v>5</v>
      </c>
      <c r="X38" s="140">
        <f t="shared" si="23"/>
        <v>45142</v>
      </c>
      <c r="Y38" s="64">
        <v>45138</v>
      </c>
      <c r="Z38" s="126">
        <f t="shared" ref="Z38" ca="1" si="24">IF(AND(Y38="",AA38="")=TRUE,"",IF(AND(Y38&gt;0,AA38="")=TRUE,NETWORKDAYS(Y38,TODAY(),Holidays),NETWORKDAYS(Y38,AA38,Holidays)))</f>
        <v>12</v>
      </c>
      <c r="AA38" s="65">
        <v>45154</v>
      </c>
      <c r="AB38" s="66">
        <v>1</v>
      </c>
      <c r="AC38" s="125" t="str">
        <f t="shared" si="2"/>
        <v>Completed</v>
      </c>
      <c r="AD38" s="166" t="s">
        <v>948</v>
      </c>
      <c r="AE38" s="80">
        <v>45119</v>
      </c>
      <c r="AF38" s="81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  <c r="BA38" s="81"/>
      <c r="BB38" s="81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1"/>
      <c r="CI38" s="81"/>
      <c r="CJ38" s="81"/>
      <c r="CK38" s="81"/>
      <c r="CL38" s="81"/>
      <c r="CM38" s="81"/>
      <c r="CN38" s="81"/>
      <c r="CO38" s="81"/>
      <c r="CP38" s="81"/>
      <c r="CQ38" s="81"/>
      <c r="CR38" s="81"/>
      <c r="CS38" s="81"/>
      <c r="CT38" s="81"/>
      <c r="CU38" s="81"/>
      <c r="CV38" s="81"/>
      <c r="CW38" s="81"/>
      <c r="CX38" s="81"/>
      <c r="CY38" s="81"/>
      <c r="CZ38" s="81"/>
      <c r="DA38" s="81"/>
      <c r="DB38" s="81"/>
      <c r="DC38" s="81"/>
      <c r="DD38" s="81"/>
      <c r="DE38" s="81"/>
      <c r="DF38" s="81"/>
      <c r="DG38" s="81"/>
      <c r="DH38" s="81"/>
      <c r="DI38" s="81"/>
      <c r="DJ38" s="81"/>
      <c r="DK38" s="81"/>
      <c r="DL38" s="81"/>
      <c r="DM38" s="81"/>
      <c r="DN38" s="81"/>
      <c r="DO38" s="81"/>
      <c r="DP38" s="81"/>
      <c r="DQ38" s="81"/>
      <c r="DR38" s="81"/>
      <c r="DS38" s="81"/>
      <c r="DT38" s="81"/>
      <c r="DU38" s="81"/>
      <c r="DV38" s="81"/>
      <c r="DW38" s="81"/>
      <c r="DX38" s="81"/>
      <c r="DY38" s="81"/>
      <c r="DZ38" s="81"/>
      <c r="EA38" s="81"/>
    </row>
    <row r="39" spans="2:131" ht="17.100000000000001" customHeight="1">
      <c r="B39" s="92">
        <v>3</v>
      </c>
      <c r="C39" s="92" t="s">
        <v>655</v>
      </c>
      <c r="D39" s="93"/>
      <c r="E39" s="94"/>
      <c r="F39" s="94" t="s">
        <v>949</v>
      </c>
      <c r="G39" s="94"/>
      <c r="H39" s="95"/>
      <c r="I39" s="118" t="str">
        <f t="shared" ref="I39:U39" si="25">IF(COUNTIF(I40:I44,"●")&gt;0,"●","")</f>
        <v>●</v>
      </c>
      <c r="J39" s="91" t="str">
        <f t="shared" si="25"/>
        <v>●</v>
      </c>
      <c r="K39" s="91" t="str">
        <f t="shared" si="25"/>
        <v/>
      </c>
      <c r="L39" s="118" t="str">
        <f t="shared" si="25"/>
        <v/>
      </c>
      <c r="M39" s="91" t="str">
        <f t="shared" si="25"/>
        <v/>
      </c>
      <c r="N39" s="144" t="str">
        <f t="shared" si="25"/>
        <v>●</v>
      </c>
      <c r="O39" s="144" t="str">
        <f t="shared" si="25"/>
        <v/>
      </c>
      <c r="P39" s="144" t="str">
        <f t="shared" ref="P39" si="26">IF(COUNTIF(P40:P44,"●")&gt;0,"●","")</f>
        <v/>
      </c>
      <c r="Q39" s="144" t="str">
        <f t="shared" si="25"/>
        <v/>
      </c>
      <c r="R39" s="144" t="str">
        <f t="shared" si="25"/>
        <v/>
      </c>
      <c r="S39" s="144" t="str">
        <f t="shared" si="25"/>
        <v/>
      </c>
      <c r="T39" s="144" t="str">
        <f t="shared" si="25"/>
        <v/>
      </c>
      <c r="U39" s="144" t="str">
        <f t="shared" si="25"/>
        <v/>
      </c>
      <c r="V39" s="96">
        <f>IF(MIN(V40:V44)=0,"",MIN(V40:V44))</f>
        <v>45145</v>
      </c>
      <c r="W39" s="97">
        <f ca="1">IF(AND(V39="",X39="")=TRUE,"",IF(AND(V39&gt;0,X39="")=TRUE,NETWORKDAYS(V39,TODAY(),Holidays),NETWORKDAYS(V39,X39,Holidays)))</f>
        <v>15</v>
      </c>
      <c r="X39" s="138">
        <f>IF(MAX(X40:X44)=0,"",MAX(X40:X44))</f>
        <v>45166</v>
      </c>
      <c r="Y39" s="96">
        <f>IF(MIN(Y40:Y44)=0,"",MIN(Y40:Y44))</f>
        <v>45149</v>
      </c>
      <c r="Z39" s="97">
        <f t="shared" ca="1" si="19"/>
        <v>19</v>
      </c>
      <c r="AA39" s="98">
        <f>IF(MAX(AA40:AA44)=0,"",MAX(AA40:AA44))</f>
        <v>45176</v>
      </c>
      <c r="AB39" s="99">
        <f>IFERROR(AVERAGE(AB40:AB44),"")</f>
        <v>1</v>
      </c>
      <c r="AC39" s="100" t="str">
        <f t="shared" si="2"/>
        <v>Completed</v>
      </c>
      <c r="AD39" s="154" t="s">
        <v>950</v>
      </c>
      <c r="AE39" s="80">
        <v>45120</v>
      </c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1"/>
      <c r="CI39" s="81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1"/>
      <c r="CU39" s="81"/>
      <c r="CV39" s="81"/>
      <c r="CW39" s="81"/>
      <c r="CX39" s="81"/>
      <c r="CY39" s="81"/>
      <c r="CZ39" s="81"/>
      <c r="DA39" s="81"/>
      <c r="DB39" s="81"/>
      <c r="DC39" s="81"/>
      <c r="DD39" s="81"/>
      <c r="DE39" s="81"/>
      <c r="DF39" s="81"/>
      <c r="DG39" s="81"/>
      <c r="DH39" s="81"/>
      <c r="DI39" s="81"/>
      <c r="DJ39" s="81"/>
      <c r="DK39" s="81"/>
      <c r="DL39" s="81"/>
      <c r="DM39" s="81"/>
      <c r="DN39" s="81"/>
      <c r="DO39" s="81"/>
      <c r="DP39" s="81"/>
      <c r="DQ39" s="81"/>
      <c r="DR39" s="81"/>
      <c r="DS39" s="81"/>
      <c r="DT39" s="81"/>
      <c r="DU39" s="81"/>
      <c r="DV39" s="81"/>
      <c r="DW39" s="81"/>
      <c r="DX39" s="81"/>
      <c r="DY39" s="81"/>
      <c r="DZ39" s="81"/>
      <c r="EA39" s="81"/>
    </row>
    <row r="40" spans="2:131" ht="17.100000000000001" customHeight="1">
      <c r="B40" s="58">
        <v>4</v>
      </c>
      <c r="C40" s="58" t="s">
        <v>658</v>
      </c>
      <c r="D40" s="59"/>
      <c r="E40" s="60"/>
      <c r="F40" s="60"/>
      <c r="G40" s="60" t="s">
        <v>857</v>
      </c>
      <c r="H40" s="62"/>
      <c r="I40" s="145" t="s">
        <v>836</v>
      </c>
      <c r="J40" s="145" t="s">
        <v>836</v>
      </c>
      <c r="K40" s="61"/>
      <c r="L40" s="123"/>
      <c r="M40" s="61"/>
      <c r="N40" s="145" t="s">
        <v>836</v>
      </c>
      <c r="O40" s="61"/>
      <c r="P40" s="61"/>
      <c r="Q40" s="61"/>
      <c r="R40" s="61"/>
      <c r="S40" s="61"/>
      <c r="T40" s="61"/>
      <c r="U40" s="63"/>
      <c r="V40" s="64">
        <v>45145</v>
      </c>
      <c r="W40" s="61">
        <v>15</v>
      </c>
      <c r="X40" s="140">
        <f t="shared" ref="X40:X44" si="27">IF(AND(V40="",W40="")=TRUE,"",WORKDAY(V40,W40-1,Holidays))</f>
        <v>45166</v>
      </c>
      <c r="Y40" s="64">
        <v>45149</v>
      </c>
      <c r="Z40" s="126">
        <f t="shared" ca="1" si="19"/>
        <v>7</v>
      </c>
      <c r="AA40" s="65">
        <v>45160</v>
      </c>
      <c r="AB40" s="66">
        <v>1</v>
      </c>
      <c r="AC40" s="125" t="str">
        <f t="shared" si="2"/>
        <v>Completed</v>
      </c>
      <c r="AD40" s="152"/>
      <c r="AE40" s="80">
        <v>45121</v>
      </c>
      <c r="AF40" s="81"/>
      <c r="AG40" s="81"/>
      <c r="AH40" s="81"/>
      <c r="AI40" s="81"/>
      <c r="AJ40" s="81"/>
      <c r="AK40" s="81"/>
      <c r="AL40" s="81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  <c r="BA40" s="81"/>
      <c r="BB40" s="81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1"/>
      <c r="CF40" s="81"/>
      <c r="CG40" s="81"/>
      <c r="CH40" s="81"/>
      <c r="CI40" s="81"/>
      <c r="CJ40" s="81"/>
      <c r="CK40" s="81"/>
      <c r="CL40" s="81"/>
      <c r="CM40" s="81"/>
      <c r="CN40" s="81"/>
      <c r="CO40" s="81"/>
      <c r="CP40" s="81"/>
      <c r="CQ40" s="81"/>
      <c r="CR40" s="81"/>
      <c r="CS40" s="81"/>
      <c r="CT40" s="81"/>
      <c r="CU40" s="81"/>
      <c r="CV40" s="81"/>
      <c r="CW40" s="81"/>
      <c r="CX40" s="81"/>
      <c r="CY40" s="81"/>
      <c r="CZ40" s="81"/>
      <c r="DA40" s="81"/>
      <c r="DB40" s="81"/>
      <c r="DC40" s="81"/>
      <c r="DD40" s="81"/>
      <c r="DE40" s="81"/>
      <c r="DF40" s="81"/>
      <c r="DG40" s="81"/>
      <c r="DH40" s="81"/>
      <c r="DI40" s="81"/>
      <c r="DJ40" s="81"/>
      <c r="DK40" s="81"/>
      <c r="DL40" s="81"/>
      <c r="DM40" s="81"/>
      <c r="DN40" s="81"/>
      <c r="DO40" s="81"/>
      <c r="DP40" s="81"/>
      <c r="DQ40" s="81"/>
      <c r="DR40" s="81"/>
      <c r="DS40" s="81"/>
      <c r="DT40" s="81"/>
      <c r="DU40" s="81"/>
      <c r="DV40" s="81"/>
      <c r="DW40" s="81"/>
      <c r="DX40" s="81"/>
      <c r="DY40" s="81"/>
      <c r="DZ40" s="81"/>
      <c r="EA40" s="81"/>
    </row>
    <row r="41" spans="2:131" ht="17.100000000000001" customHeight="1">
      <c r="B41" s="58">
        <v>4</v>
      </c>
      <c r="C41" s="58" t="s">
        <v>658</v>
      </c>
      <c r="D41" s="59"/>
      <c r="E41" s="60"/>
      <c r="F41" s="60"/>
      <c r="G41" s="60" t="s">
        <v>951</v>
      </c>
      <c r="H41" s="62"/>
      <c r="I41" s="145" t="s">
        <v>836</v>
      </c>
      <c r="J41" s="145" t="s">
        <v>836</v>
      </c>
      <c r="K41" s="61"/>
      <c r="L41" s="123"/>
      <c r="M41" s="61"/>
      <c r="N41" s="145" t="s">
        <v>836</v>
      </c>
      <c r="O41" s="61"/>
      <c r="P41" s="61"/>
      <c r="Q41" s="61"/>
      <c r="R41" s="61"/>
      <c r="S41" s="61"/>
      <c r="T41" s="61"/>
      <c r="U41" s="63"/>
      <c r="V41" s="64">
        <v>45145</v>
      </c>
      <c r="W41" s="61">
        <v>15</v>
      </c>
      <c r="X41" s="140">
        <f t="shared" si="27"/>
        <v>45166</v>
      </c>
      <c r="Y41" s="64">
        <v>45149</v>
      </c>
      <c r="Z41" s="126">
        <f t="shared" ca="1" si="19"/>
        <v>7</v>
      </c>
      <c r="AA41" s="65">
        <v>45160</v>
      </c>
      <c r="AB41" s="66">
        <v>1</v>
      </c>
      <c r="AC41" s="125" t="str">
        <f t="shared" si="2"/>
        <v>Completed</v>
      </c>
      <c r="AD41" s="152"/>
      <c r="AE41" s="80">
        <v>45124</v>
      </c>
      <c r="AF41" s="81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  <c r="BA41" s="81"/>
      <c r="BB41" s="81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1"/>
      <c r="CF41" s="81"/>
      <c r="CG41" s="81"/>
      <c r="CH41" s="81"/>
      <c r="CI41" s="81"/>
      <c r="CJ41" s="81"/>
      <c r="CK41" s="81"/>
      <c r="CL41" s="81"/>
      <c r="CM41" s="81"/>
      <c r="CN41" s="81"/>
      <c r="CO41" s="81"/>
      <c r="CP41" s="81"/>
      <c r="CQ41" s="81"/>
      <c r="CR41" s="81"/>
      <c r="CS41" s="81"/>
      <c r="CT41" s="81"/>
      <c r="CU41" s="81"/>
      <c r="CV41" s="81"/>
      <c r="CW41" s="81"/>
      <c r="CX41" s="81"/>
      <c r="CY41" s="81"/>
      <c r="CZ41" s="81"/>
      <c r="DA41" s="81"/>
      <c r="DB41" s="81"/>
      <c r="DC41" s="81"/>
      <c r="DD41" s="81"/>
      <c r="DE41" s="81"/>
      <c r="DF41" s="81"/>
      <c r="DG41" s="81"/>
      <c r="DH41" s="81"/>
      <c r="DI41" s="81"/>
      <c r="DJ41" s="81"/>
      <c r="DK41" s="81"/>
      <c r="DL41" s="81"/>
      <c r="DM41" s="81"/>
      <c r="DN41" s="81"/>
      <c r="DO41" s="81"/>
      <c r="DP41" s="81"/>
      <c r="DQ41" s="81"/>
      <c r="DR41" s="81"/>
      <c r="DS41" s="81"/>
      <c r="DT41" s="81"/>
      <c r="DU41" s="81"/>
      <c r="DV41" s="81"/>
      <c r="DW41" s="81"/>
      <c r="DX41" s="81"/>
      <c r="DY41" s="81"/>
      <c r="DZ41" s="81"/>
      <c r="EA41" s="81"/>
    </row>
    <row r="42" spans="2:131" ht="17.100000000000001" customHeight="1">
      <c r="B42" s="58">
        <v>4</v>
      </c>
      <c r="C42" s="58" t="s">
        <v>658</v>
      </c>
      <c r="D42" s="59"/>
      <c r="E42" s="60"/>
      <c r="F42" s="60"/>
      <c r="G42" s="60" t="s">
        <v>952</v>
      </c>
      <c r="H42" s="62"/>
      <c r="I42" s="145" t="s">
        <v>836</v>
      </c>
      <c r="J42" s="145" t="s">
        <v>836</v>
      </c>
      <c r="K42" s="61"/>
      <c r="L42" s="123"/>
      <c r="M42" s="61"/>
      <c r="N42" s="145" t="s">
        <v>836</v>
      </c>
      <c r="O42" s="61"/>
      <c r="P42" s="61"/>
      <c r="Q42" s="61"/>
      <c r="R42" s="61"/>
      <c r="S42" s="61"/>
      <c r="T42" s="61"/>
      <c r="U42" s="63"/>
      <c r="V42" s="64">
        <v>45145</v>
      </c>
      <c r="W42" s="61">
        <v>15</v>
      </c>
      <c r="X42" s="140">
        <f t="shared" si="27"/>
        <v>45166</v>
      </c>
      <c r="Y42" s="64">
        <v>45159</v>
      </c>
      <c r="Z42" s="126">
        <f t="shared" ca="1" si="19"/>
        <v>8</v>
      </c>
      <c r="AA42" s="65">
        <v>45168</v>
      </c>
      <c r="AB42" s="66">
        <v>1</v>
      </c>
      <c r="AC42" s="125" t="str">
        <f t="shared" si="2"/>
        <v>Completed</v>
      </c>
      <c r="AD42" s="166" t="s">
        <v>953</v>
      </c>
      <c r="AE42" s="80">
        <v>45125</v>
      </c>
      <c r="AF42" s="81"/>
      <c r="AG42" s="81"/>
      <c r="AH42" s="81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  <c r="BA42" s="81"/>
      <c r="BB42" s="81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1"/>
      <c r="CF42" s="81"/>
      <c r="CG42" s="81"/>
      <c r="CH42" s="81"/>
      <c r="CI42" s="81"/>
      <c r="CJ42" s="81"/>
      <c r="CK42" s="81"/>
      <c r="CL42" s="81"/>
      <c r="CM42" s="81"/>
      <c r="CN42" s="81"/>
      <c r="CO42" s="81"/>
      <c r="CP42" s="81"/>
      <c r="CQ42" s="81"/>
      <c r="CR42" s="81"/>
      <c r="CS42" s="81"/>
      <c r="CT42" s="81"/>
      <c r="CU42" s="81"/>
      <c r="CV42" s="81"/>
      <c r="CW42" s="81"/>
      <c r="CX42" s="81"/>
      <c r="CY42" s="81"/>
      <c r="CZ42" s="81"/>
      <c r="DA42" s="81"/>
      <c r="DB42" s="81"/>
      <c r="DC42" s="81"/>
      <c r="DD42" s="81"/>
      <c r="DE42" s="81"/>
      <c r="DF42" s="81"/>
      <c r="DG42" s="81"/>
      <c r="DH42" s="81"/>
      <c r="DI42" s="81"/>
      <c r="DJ42" s="81"/>
      <c r="DK42" s="81"/>
      <c r="DL42" s="81"/>
      <c r="DM42" s="81"/>
      <c r="DN42" s="81"/>
      <c r="DO42" s="81"/>
      <c r="DP42" s="81"/>
      <c r="DQ42" s="81"/>
      <c r="DR42" s="81"/>
      <c r="DS42" s="81"/>
      <c r="DT42" s="81"/>
      <c r="DU42" s="81"/>
      <c r="DV42" s="81"/>
      <c r="DW42" s="81"/>
      <c r="DX42" s="81"/>
      <c r="DY42" s="81"/>
      <c r="DZ42" s="81"/>
      <c r="EA42" s="81"/>
    </row>
    <row r="43" spans="2:131" ht="17.100000000000001" customHeight="1">
      <c r="B43" s="58">
        <v>4</v>
      </c>
      <c r="C43" s="58" t="s">
        <v>658</v>
      </c>
      <c r="D43" s="59"/>
      <c r="E43" s="60"/>
      <c r="F43" s="60"/>
      <c r="G43" s="60" t="s">
        <v>860</v>
      </c>
      <c r="H43" s="62"/>
      <c r="I43" s="145" t="s">
        <v>836</v>
      </c>
      <c r="J43" s="145" t="s">
        <v>836</v>
      </c>
      <c r="K43" s="61"/>
      <c r="L43" s="123"/>
      <c r="M43" s="61"/>
      <c r="N43" s="145" t="s">
        <v>836</v>
      </c>
      <c r="O43" s="61"/>
      <c r="P43" s="61"/>
      <c r="Q43" s="61"/>
      <c r="R43" s="61"/>
      <c r="S43" s="61"/>
      <c r="T43" s="61"/>
      <c r="U43" s="63"/>
      <c r="V43" s="64">
        <v>45145</v>
      </c>
      <c r="W43" s="61">
        <v>15</v>
      </c>
      <c r="X43" s="140">
        <f t="shared" si="27"/>
        <v>45166</v>
      </c>
      <c r="Y43" s="64">
        <v>45149</v>
      </c>
      <c r="Z43" s="126">
        <f t="shared" ca="1" si="19"/>
        <v>7</v>
      </c>
      <c r="AA43" s="65">
        <v>45160</v>
      </c>
      <c r="AB43" s="66">
        <v>1</v>
      </c>
      <c r="AC43" s="125" t="str">
        <f t="shared" si="2"/>
        <v>Completed</v>
      </c>
      <c r="AD43" s="152"/>
      <c r="AE43" s="80">
        <v>45126</v>
      </c>
      <c r="AF43" s="81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  <c r="BA43" s="81"/>
      <c r="BB43" s="81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F43" s="81"/>
      <c r="CG43" s="81"/>
      <c r="CH43" s="81"/>
      <c r="CI43" s="81"/>
      <c r="CJ43" s="81"/>
      <c r="CK43" s="81"/>
      <c r="CL43" s="81"/>
      <c r="CM43" s="81"/>
      <c r="CN43" s="81"/>
      <c r="CO43" s="81"/>
      <c r="CP43" s="81"/>
      <c r="CQ43" s="81"/>
      <c r="CR43" s="81"/>
      <c r="CS43" s="81"/>
      <c r="CT43" s="81"/>
      <c r="CU43" s="81"/>
      <c r="CV43" s="81"/>
      <c r="CW43" s="81"/>
      <c r="CX43" s="81"/>
      <c r="CY43" s="81"/>
      <c r="CZ43" s="81"/>
      <c r="DA43" s="81"/>
      <c r="DB43" s="81"/>
      <c r="DC43" s="81"/>
      <c r="DD43" s="81"/>
      <c r="DE43" s="81"/>
      <c r="DF43" s="81"/>
      <c r="DG43" s="81"/>
      <c r="DH43" s="81"/>
      <c r="DI43" s="81"/>
      <c r="DJ43" s="81"/>
      <c r="DK43" s="81"/>
      <c r="DL43" s="81"/>
      <c r="DM43" s="81"/>
      <c r="DN43" s="81"/>
      <c r="DO43" s="81"/>
      <c r="DP43" s="81"/>
      <c r="DQ43" s="81"/>
      <c r="DR43" s="81"/>
      <c r="DS43" s="81"/>
      <c r="DT43" s="81"/>
      <c r="DU43" s="81"/>
      <c r="DV43" s="81"/>
      <c r="DW43" s="81"/>
      <c r="DX43" s="81"/>
      <c r="DY43" s="81"/>
      <c r="DZ43" s="81"/>
      <c r="EA43" s="81"/>
    </row>
    <row r="44" spans="2:131" ht="17.100000000000001" customHeight="1">
      <c r="B44" s="58">
        <v>4</v>
      </c>
      <c r="C44" s="58" t="s">
        <v>658</v>
      </c>
      <c r="D44" s="59"/>
      <c r="E44" s="60"/>
      <c r="F44" s="60"/>
      <c r="G44" s="60" t="s">
        <v>861</v>
      </c>
      <c r="H44" s="62"/>
      <c r="I44" s="145" t="s">
        <v>836</v>
      </c>
      <c r="J44" s="145" t="s">
        <v>836</v>
      </c>
      <c r="K44" s="61"/>
      <c r="L44" s="123"/>
      <c r="M44" s="61"/>
      <c r="N44" s="145" t="s">
        <v>836</v>
      </c>
      <c r="O44" s="61"/>
      <c r="P44" s="61"/>
      <c r="Q44" s="61"/>
      <c r="R44" s="61"/>
      <c r="S44" s="61"/>
      <c r="T44" s="61"/>
      <c r="U44" s="63"/>
      <c r="V44" s="64">
        <v>45145</v>
      </c>
      <c r="W44" s="61">
        <v>15</v>
      </c>
      <c r="X44" s="140">
        <f t="shared" si="27"/>
        <v>45166</v>
      </c>
      <c r="Y44" s="64">
        <v>45149</v>
      </c>
      <c r="Z44" s="126">
        <f t="shared" ref="Z44:Z46" ca="1" si="28">IF(AND(Y44="",AA44="")=TRUE,"",IF(AND(Y44&gt;0,AA44="")=TRUE,NETWORKDAYS(Y44,TODAY(),Holidays),NETWORKDAYS(Y44,AA44,Holidays)))</f>
        <v>19</v>
      </c>
      <c r="AA44" s="65">
        <v>45176</v>
      </c>
      <c r="AB44" s="66">
        <v>1</v>
      </c>
      <c r="AC44" s="125" t="str">
        <f t="shared" si="2"/>
        <v>Completed</v>
      </c>
      <c r="AD44" s="166" t="s">
        <v>954</v>
      </c>
      <c r="AE44" s="80">
        <v>45127</v>
      </c>
      <c r="AF44" s="81"/>
      <c r="AG44" s="81"/>
      <c r="AH44" s="81"/>
      <c r="AI44" s="81"/>
      <c r="AJ44" s="81"/>
      <c r="AK44" s="81"/>
      <c r="AL44" s="81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  <c r="BA44" s="81"/>
      <c r="BB44" s="81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/>
      <c r="CG44" s="81"/>
      <c r="CH44" s="81"/>
      <c r="CI44" s="81"/>
      <c r="CJ44" s="81"/>
      <c r="CK44" s="81"/>
      <c r="CL44" s="81"/>
      <c r="CM44" s="81"/>
      <c r="CN44" s="81"/>
      <c r="CO44" s="81"/>
      <c r="CP44" s="81"/>
      <c r="CQ44" s="81"/>
      <c r="CR44" s="81"/>
      <c r="CS44" s="81"/>
      <c r="CT44" s="81"/>
      <c r="CU44" s="81"/>
      <c r="CV44" s="81"/>
      <c r="CW44" s="81"/>
      <c r="CX44" s="81"/>
      <c r="CY44" s="81"/>
      <c r="CZ44" s="81"/>
      <c r="DA44" s="81"/>
      <c r="DB44" s="81"/>
      <c r="DC44" s="81"/>
      <c r="DD44" s="81"/>
      <c r="DE44" s="81"/>
      <c r="DF44" s="81"/>
      <c r="DG44" s="81"/>
      <c r="DH44" s="81"/>
      <c r="DI44" s="81"/>
      <c r="DJ44" s="81"/>
      <c r="DK44" s="81"/>
      <c r="DL44" s="81"/>
      <c r="DM44" s="81"/>
      <c r="DN44" s="81"/>
      <c r="DO44" s="81"/>
      <c r="DP44" s="81"/>
      <c r="DQ44" s="81"/>
      <c r="DR44" s="81"/>
      <c r="DS44" s="81"/>
      <c r="DT44" s="81"/>
      <c r="DU44" s="81"/>
      <c r="DV44" s="81"/>
      <c r="DW44" s="81"/>
      <c r="DX44" s="81"/>
      <c r="DY44" s="81"/>
      <c r="DZ44" s="81"/>
      <c r="EA44" s="81"/>
    </row>
    <row r="45" spans="2:131" ht="17.100000000000001" customHeight="1">
      <c r="B45" s="92">
        <v>3</v>
      </c>
      <c r="C45" s="92" t="s">
        <v>655</v>
      </c>
      <c r="D45" s="93"/>
      <c r="E45" s="94"/>
      <c r="F45" s="94" t="s">
        <v>955</v>
      </c>
      <c r="G45" s="94"/>
      <c r="H45" s="95"/>
      <c r="I45" s="118" t="str">
        <f>IF(COUNTIF(I46:I48,"●")&gt;0,"●","")</f>
        <v/>
      </c>
      <c r="J45" s="91" t="str">
        <f t="shared" ref="J45:K45" si="29">IF(COUNTIF(J46:J48,"●")&gt;0,"●","")</f>
        <v/>
      </c>
      <c r="K45" s="91" t="str">
        <f t="shared" si="29"/>
        <v/>
      </c>
      <c r="L45" s="118" t="str">
        <f>IF(COUNTIF(L46:L48,"●")&gt;0,"●","")</f>
        <v/>
      </c>
      <c r="M45" s="91" t="str">
        <f t="shared" ref="M45:U45" si="30">IF(COUNTIF(M46:M48,"●")&gt;0,"●","")</f>
        <v/>
      </c>
      <c r="N45" s="144" t="str">
        <f t="shared" si="30"/>
        <v>●</v>
      </c>
      <c r="O45" s="144" t="str">
        <f t="shared" si="30"/>
        <v/>
      </c>
      <c r="P45" s="144" t="str">
        <f t="shared" ref="P45" si="31">IF(COUNTIF(P46:P48,"●")&gt;0,"●","")</f>
        <v/>
      </c>
      <c r="Q45" s="144" t="str">
        <f t="shared" si="30"/>
        <v/>
      </c>
      <c r="R45" s="144" t="str">
        <f t="shared" si="30"/>
        <v/>
      </c>
      <c r="S45" s="144" t="str">
        <f t="shared" si="30"/>
        <v/>
      </c>
      <c r="T45" s="144" t="str">
        <f t="shared" si="30"/>
        <v/>
      </c>
      <c r="U45" s="144" t="str">
        <f t="shared" si="30"/>
        <v/>
      </c>
      <c r="V45" s="96">
        <f>IF(MIN(V46:V48)=0,"",MIN(V46:V48))</f>
        <v>45145</v>
      </c>
      <c r="W45" s="97">
        <f ca="1">IF(AND(V45="",X45="")=TRUE,"",IF(AND(V45&gt;0,X45="")=TRUE,NETWORKDAYS(V45,TODAY(),Holidays),NETWORKDAYS(V45,X45,Holidays)))</f>
        <v>15</v>
      </c>
      <c r="X45" s="138">
        <f>IF(MAX(X46:X48)=0,"",MAX(X46:X48))</f>
        <v>45166</v>
      </c>
      <c r="Y45" s="96">
        <f>IF(MIN(Y46:Y48)=0,"",MIN(Y46:Y48))</f>
        <v>45154</v>
      </c>
      <c r="Z45" s="97">
        <f t="shared" ca="1" si="28"/>
        <v>28</v>
      </c>
      <c r="AA45" s="98">
        <f>IF(MAX(AA46:AA48)=0,"",MAX(AA46:AA48))</f>
        <v>45191</v>
      </c>
      <c r="AB45" s="99">
        <f>IFERROR(AVERAGE(AB46:AB48),"")</f>
        <v>1</v>
      </c>
      <c r="AC45" s="100" t="str">
        <f t="shared" si="2"/>
        <v>Completed</v>
      </c>
      <c r="AD45" s="154"/>
      <c r="AE45" s="80">
        <v>45128</v>
      </c>
      <c r="AF45" s="81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  <c r="BA45" s="81"/>
      <c r="BB45" s="81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1"/>
      <c r="CI45" s="81"/>
      <c r="CJ45" s="81"/>
      <c r="CK45" s="81"/>
      <c r="CL45" s="81"/>
      <c r="CM45" s="81"/>
      <c r="CN45" s="81"/>
      <c r="CO45" s="81"/>
      <c r="CP45" s="81"/>
      <c r="CQ45" s="81"/>
      <c r="CR45" s="81"/>
      <c r="CS45" s="81"/>
      <c r="CT45" s="81"/>
      <c r="CU45" s="81"/>
      <c r="CV45" s="81"/>
      <c r="CW45" s="81"/>
      <c r="CX45" s="81"/>
      <c r="CY45" s="81"/>
      <c r="CZ45" s="81"/>
      <c r="DA45" s="81"/>
      <c r="DB45" s="81"/>
      <c r="DC45" s="81"/>
      <c r="DD45" s="81"/>
      <c r="DE45" s="81"/>
      <c r="DF45" s="81"/>
      <c r="DG45" s="81"/>
      <c r="DH45" s="81"/>
      <c r="DI45" s="81"/>
      <c r="DJ45" s="81"/>
      <c r="DK45" s="81"/>
      <c r="DL45" s="81"/>
      <c r="DM45" s="81"/>
      <c r="DN45" s="81"/>
      <c r="DO45" s="81"/>
      <c r="DP45" s="81"/>
      <c r="DQ45" s="81"/>
      <c r="DR45" s="81"/>
      <c r="DS45" s="81"/>
      <c r="DT45" s="81"/>
      <c r="DU45" s="81"/>
      <c r="DV45" s="81"/>
      <c r="DW45" s="81"/>
      <c r="DX45" s="81"/>
      <c r="DY45" s="81"/>
      <c r="DZ45" s="81"/>
      <c r="EA45" s="81"/>
    </row>
    <row r="46" spans="2:131" ht="17.100000000000001" customHeight="1">
      <c r="B46" s="58">
        <v>4</v>
      </c>
      <c r="C46" s="58" t="s">
        <v>658</v>
      </c>
      <c r="D46" s="59"/>
      <c r="E46" s="60"/>
      <c r="F46" s="60"/>
      <c r="G46" s="60" t="s">
        <v>864</v>
      </c>
      <c r="H46" s="62"/>
      <c r="I46" s="145"/>
      <c r="J46" s="61"/>
      <c r="K46" s="61"/>
      <c r="L46" s="123"/>
      <c r="M46" s="61"/>
      <c r="N46" s="145" t="s">
        <v>836</v>
      </c>
      <c r="O46" s="61"/>
      <c r="P46" s="61"/>
      <c r="Q46" s="61"/>
      <c r="R46" s="61"/>
      <c r="S46" s="61"/>
      <c r="T46" s="61"/>
      <c r="U46" s="63"/>
      <c r="V46" s="64">
        <v>45145</v>
      </c>
      <c r="W46" s="61">
        <v>15</v>
      </c>
      <c r="X46" s="140">
        <f t="shared" ref="X46:X47" si="32">IF(AND(V46="",W46="")=TRUE,"",WORKDAY(V46,W46-1,Holidays))</f>
        <v>45166</v>
      </c>
      <c r="Y46" s="64">
        <v>45154</v>
      </c>
      <c r="Z46" s="126">
        <f t="shared" ca="1" si="28"/>
        <v>1</v>
      </c>
      <c r="AA46" s="64">
        <v>45154</v>
      </c>
      <c r="AB46" s="66">
        <v>1</v>
      </c>
      <c r="AC46" s="125" t="str">
        <f t="shared" si="2"/>
        <v>Completed</v>
      </c>
      <c r="AD46" s="152"/>
      <c r="AE46" s="80">
        <v>45131</v>
      </c>
      <c r="AF46" s="81"/>
      <c r="AG46" s="81"/>
      <c r="AH46" s="81"/>
      <c r="AI46" s="81"/>
      <c r="AJ46" s="81"/>
      <c r="AK46" s="81"/>
      <c r="AL46" s="81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  <c r="BA46" s="81"/>
      <c r="BB46" s="81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81"/>
      <c r="CF46" s="81"/>
      <c r="CG46" s="81"/>
      <c r="CH46" s="81"/>
      <c r="CI46" s="81"/>
      <c r="CJ46" s="81"/>
      <c r="CK46" s="81"/>
      <c r="CL46" s="81"/>
      <c r="CM46" s="81"/>
      <c r="CN46" s="81"/>
      <c r="CO46" s="81"/>
      <c r="CP46" s="81"/>
      <c r="CQ46" s="81"/>
      <c r="CR46" s="81"/>
      <c r="CS46" s="81"/>
      <c r="CT46" s="81"/>
      <c r="CU46" s="81"/>
      <c r="CV46" s="81"/>
      <c r="CW46" s="81"/>
      <c r="CX46" s="81"/>
      <c r="CY46" s="81"/>
      <c r="CZ46" s="81"/>
      <c r="DA46" s="81"/>
      <c r="DB46" s="81"/>
      <c r="DC46" s="81"/>
      <c r="DD46" s="81"/>
      <c r="DE46" s="81"/>
      <c r="DF46" s="81"/>
      <c r="DG46" s="81"/>
      <c r="DH46" s="81"/>
      <c r="DI46" s="81"/>
      <c r="DJ46" s="81"/>
      <c r="DK46" s="81"/>
      <c r="DL46" s="81"/>
      <c r="DM46" s="81"/>
      <c r="DN46" s="81"/>
      <c r="DO46" s="81"/>
      <c r="DP46" s="81"/>
      <c r="DQ46" s="81"/>
      <c r="DR46" s="81"/>
      <c r="DS46" s="81"/>
      <c r="DT46" s="81"/>
      <c r="DU46" s="81"/>
      <c r="DV46" s="81"/>
      <c r="DW46" s="81"/>
      <c r="DX46" s="81"/>
      <c r="DY46" s="81"/>
      <c r="DZ46" s="81"/>
      <c r="EA46" s="81"/>
    </row>
    <row r="47" spans="2:131" ht="17.100000000000001" customHeight="1">
      <c r="B47" s="58">
        <v>4</v>
      </c>
      <c r="C47" s="58" t="s">
        <v>658</v>
      </c>
      <c r="D47" s="59"/>
      <c r="E47" s="60"/>
      <c r="F47" s="60"/>
      <c r="G47" s="60" t="s">
        <v>865</v>
      </c>
      <c r="H47" s="62"/>
      <c r="I47" s="145"/>
      <c r="J47" s="61"/>
      <c r="K47" s="61"/>
      <c r="L47" s="123"/>
      <c r="M47" s="61"/>
      <c r="N47" s="145" t="s">
        <v>836</v>
      </c>
      <c r="O47" s="61"/>
      <c r="P47" s="61"/>
      <c r="Q47" s="61"/>
      <c r="R47" s="61"/>
      <c r="S47" s="61"/>
      <c r="T47" s="61"/>
      <c r="U47" s="63"/>
      <c r="V47" s="64">
        <v>45145</v>
      </c>
      <c r="W47" s="61">
        <v>15</v>
      </c>
      <c r="X47" s="140">
        <f t="shared" si="32"/>
        <v>45166</v>
      </c>
      <c r="Y47" s="64">
        <v>45154</v>
      </c>
      <c r="Z47" s="126">
        <f t="shared" ref="Z47:Z48" ca="1" si="33">IF(AND(Y47="",AA47="")=TRUE,"",IF(AND(Y47&gt;0,AA47="")=TRUE,NETWORKDAYS(Y47,TODAY(),Holidays),NETWORKDAYS(Y47,AA47,Holidays)))</f>
        <v>28</v>
      </c>
      <c r="AA47" s="65">
        <v>45191</v>
      </c>
      <c r="AB47" s="66">
        <v>1</v>
      </c>
      <c r="AC47" s="125" t="str">
        <f t="shared" si="2"/>
        <v>Completed</v>
      </c>
      <c r="AD47" s="166" t="s">
        <v>956</v>
      </c>
      <c r="AE47" s="80">
        <v>45132</v>
      </c>
      <c r="AF47" s="81"/>
      <c r="AG47" s="81"/>
      <c r="AH47" s="81"/>
      <c r="AI47" s="81"/>
      <c r="AJ47" s="81"/>
      <c r="AK47" s="81"/>
      <c r="AL47" s="81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  <c r="BA47" s="81"/>
      <c r="BB47" s="81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81"/>
      <c r="CF47" s="81"/>
      <c r="CG47" s="81"/>
      <c r="CH47" s="81"/>
      <c r="CI47" s="81"/>
      <c r="CJ47" s="81"/>
      <c r="CK47" s="81"/>
      <c r="CL47" s="81"/>
      <c r="CM47" s="81"/>
      <c r="CN47" s="81"/>
      <c r="CO47" s="81"/>
      <c r="CP47" s="81"/>
      <c r="CQ47" s="81"/>
      <c r="CR47" s="81"/>
      <c r="CS47" s="81"/>
      <c r="CT47" s="81"/>
      <c r="CU47" s="81"/>
      <c r="CV47" s="81"/>
      <c r="CW47" s="81"/>
      <c r="CX47" s="81"/>
      <c r="CY47" s="81"/>
      <c r="CZ47" s="81"/>
      <c r="DA47" s="81"/>
      <c r="DB47" s="81"/>
      <c r="DC47" s="81"/>
      <c r="DD47" s="81"/>
      <c r="DE47" s="81"/>
      <c r="DF47" s="81"/>
      <c r="DG47" s="81"/>
      <c r="DH47" s="81"/>
      <c r="DI47" s="81"/>
      <c r="DJ47" s="81"/>
      <c r="DK47" s="81"/>
      <c r="DL47" s="81"/>
      <c r="DM47" s="81"/>
      <c r="DN47" s="81"/>
      <c r="DO47" s="81"/>
      <c r="DP47" s="81"/>
      <c r="DQ47" s="81"/>
      <c r="DR47" s="81"/>
      <c r="DS47" s="81"/>
      <c r="DT47" s="81"/>
      <c r="DU47" s="81"/>
      <c r="DV47" s="81"/>
      <c r="DW47" s="81"/>
      <c r="DX47" s="81"/>
      <c r="DY47" s="81"/>
      <c r="DZ47" s="81"/>
      <c r="EA47" s="81"/>
    </row>
    <row r="48" spans="2:131" ht="17.100000000000001" customHeight="1">
      <c r="B48" s="58">
        <v>4</v>
      </c>
      <c r="C48" s="58" t="s">
        <v>658</v>
      </c>
      <c r="D48" s="59"/>
      <c r="E48" s="60"/>
      <c r="F48" s="60"/>
      <c r="G48" s="60" t="s">
        <v>866</v>
      </c>
      <c r="H48" s="62"/>
      <c r="I48" s="145"/>
      <c r="J48" s="61"/>
      <c r="K48" s="61"/>
      <c r="L48" s="123"/>
      <c r="M48" s="61"/>
      <c r="N48" s="145" t="s">
        <v>836</v>
      </c>
      <c r="O48" s="61"/>
      <c r="P48" s="61"/>
      <c r="Q48" s="61"/>
      <c r="R48" s="61"/>
      <c r="S48" s="61"/>
      <c r="T48" s="61"/>
      <c r="U48" s="63"/>
      <c r="V48" s="64">
        <v>45145</v>
      </c>
      <c r="W48" s="61">
        <v>15</v>
      </c>
      <c r="X48" s="140">
        <f t="shared" ref="X48" si="34">IF(AND(V48="",W48="")=TRUE,"",WORKDAY(V48,W48-1,Holidays))</f>
        <v>45166</v>
      </c>
      <c r="Y48" s="64">
        <v>45159</v>
      </c>
      <c r="Z48" s="126">
        <f t="shared" ca="1" si="33"/>
        <v>25</v>
      </c>
      <c r="AA48" s="65">
        <v>45191</v>
      </c>
      <c r="AB48" s="66">
        <v>1</v>
      </c>
      <c r="AC48" s="125" t="str">
        <f t="shared" si="2"/>
        <v>Completed</v>
      </c>
      <c r="AD48" s="166" t="s">
        <v>957</v>
      </c>
      <c r="AE48" s="80">
        <v>45133</v>
      </c>
      <c r="AF48" s="81"/>
      <c r="AG48" s="81"/>
      <c r="AH48" s="81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  <c r="BA48" s="81"/>
      <c r="BB48" s="81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F48" s="81"/>
      <c r="CG48" s="81"/>
      <c r="CH48" s="81"/>
      <c r="CI48" s="81"/>
      <c r="CJ48" s="81"/>
      <c r="CK48" s="81"/>
      <c r="CL48" s="81"/>
      <c r="CM48" s="81"/>
      <c r="CN48" s="81"/>
      <c r="CO48" s="81"/>
      <c r="CP48" s="81"/>
      <c r="CQ48" s="81"/>
      <c r="CR48" s="81"/>
      <c r="CS48" s="81"/>
      <c r="CT48" s="81"/>
      <c r="CU48" s="81"/>
      <c r="CV48" s="81"/>
      <c r="CW48" s="81"/>
      <c r="CX48" s="81"/>
      <c r="CY48" s="81"/>
      <c r="CZ48" s="81"/>
      <c r="DA48" s="81"/>
      <c r="DB48" s="81"/>
      <c r="DC48" s="81"/>
      <c r="DD48" s="81"/>
      <c r="DE48" s="81"/>
      <c r="DF48" s="81"/>
      <c r="DG48" s="81"/>
      <c r="DH48" s="81"/>
      <c r="DI48" s="81"/>
      <c r="DJ48" s="81"/>
      <c r="DK48" s="81"/>
      <c r="DL48" s="81"/>
      <c r="DM48" s="81"/>
      <c r="DN48" s="81"/>
      <c r="DO48" s="81"/>
      <c r="DP48" s="81"/>
      <c r="DQ48" s="81"/>
      <c r="DR48" s="81"/>
      <c r="DS48" s="81"/>
      <c r="DT48" s="81"/>
      <c r="DU48" s="81"/>
      <c r="DV48" s="81"/>
      <c r="DW48" s="81"/>
      <c r="DX48" s="81"/>
      <c r="DY48" s="81"/>
      <c r="DZ48" s="81"/>
      <c r="EA48" s="81"/>
    </row>
    <row r="49" spans="2:131" ht="17.100000000000001" customHeight="1">
      <c r="B49" s="156">
        <v>3</v>
      </c>
      <c r="C49" s="156" t="s">
        <v>655</v>
      </c>
      <c r="D49" s="157"/>
      <c r="E49" s="158"/>
      <c r="F49" s="158" t="s">
        <v>958</v>
      </c>
      <c r="G49" s="158"/>
      <c r="H49" s="159"/>
      <c r="I49" s="118" t="str">
        <f t="shared" ref="I49:U49" si="35">IF(COUNTIF(I50:I51,"●")&gt;0,"●","")</f>
        <v>●</v>
      </c>
      <c r="J49" s="91" t="str">
        <f t="shared" si="35"/>
        <v>●</v>
      </c>
      <c r="K49" s="91" t="str">
        <f t="shared" si="35"/>
        <v/>
      </c>
      <c r="L49" s="118" t="str">
        <f t="shared" si="35"/>
        <v/>
      </c>
      <c r="M49" s="91" t="str">
        <f t="shared" si="35"/>
        <v/>
      </c>
      <c r="N49" s="144" t="str">
        <f t="shared" si="35"/>
        <v>●</v>
      </c>
      <c r="O49" s="144" t="str">
        <f t="shared" si="35"/>
        <v/>
      </c>
      <c r="P49" s="144" t="str">
        <f t="shared" si="35"/>
        <v/>
      </c>
      <c r="Q49" s="144" t="str">
        <f t="shared" si="35"/>
        <v/>
      </c>
      <c r="R49" s="144" t="str">
        <f t="shared" si="35"/>
        <v/>
      </c>
      <c r="S49" s="144" t="str">
        <f t="shared" si="35"/>
        <v/>
      </c>
      <c r="T49" s="144" t="str">
        <f t="shared" si="35"/>
        <v/>
      </c>
      <c r="U49" s="144" t="str">
        <f t="shared" si="35"/>
        <v/>
      </c>
      <c r="V49" s="96">
        <f>IF(MIN(V50:V51)=0,"",MIN(V50:V51))</f>
        <v>45180</v>
      </c>
      <c r="W49" s="97">
        <f ca="1">IF(AND(V49="",X49="")=TRUE,"",IF(AND(V49&gt;0,X49="")=TRUE,NETWORKDAYS(V49,TODAY(),Holidays),NETWORKDAYS(V49,X49,Holidays)))</f>
        <v>11</v>
      </c>
      <c r="X49" s="138">
        <f>IF(MAX(X50:X51)=0,"",MAX(X50:X51))</f>
        <v>45194</v>
      </c>
      <c r="Y49" s="96">
        <f>IF(MIN(Y50:Y51)=0,"",MIN(Y50:Y51))</f>
        <v>45175</v>
      </c>
      <c r="Z49" s="97">
        <f ca="1">IF(AND(Y49="",AA49="")=TRUE,"",IF(AND(Y49&gt;0,AA49="")=TRUE,NETWORKDAYS(Y49,TODAY(),Holidays),NETWORKDAYS(Y49,AA49,Holidays)))</f>
        <v>14</v>
      </c>
      <c r="AA49" s="98">
        <f>IF(MAX(AA50:AA51)=0,"",MAX(AA50:AA51))</f>
        <v>45194</v>
      </c>
      <c r="AB49" s="99">
        <f>IFERROR(AVERAGE(AB50:AB51),"")</f>
        <v>1</v>
      </c>
      <c r="AC49" s="100" t="str">
        <f>IF(AB49=100%,"Completed",IF(AND(AB49&lt;100%,AB49&gt;0%)=TRUE,"In-Progress","Open"))</f>
        <v>Completed</v>
      </c>
      <c r="AD49" s="154"/>
      <c r="AE49" s="160">
        <v>45134</v>
      </c>
      <c r="AF49" s="161"/>
      <c r="AG49" s="161"/>
      <c r="AH49" s="161"/>
      <c r="AI49" s="161"/>
      <c r="AJ49" s="161"/>
      <c r="AK49" s="161"/>
      <c r="AL49" s="161"/>
      <c r="AM49" s="161"/>
      <c r="AN49" s="161"/>
      <c r="AO49" s="161"/>
      <c r="AP49" s="161"/>
      <c r="AQ49" s="161"/>
      <c r="AR49" s="161"/>
      <c r="AS49" s="161"/>
      <c r="AT49" s="161"/>
      <c r="AU49" s="161"/>
      <c r="AV49" s="161"/>
      <c r="AW49" s="161"/>
      <c r="AX49" s="161"/>
      <c r="AY49" s="161"/>
      <c r="AZ49" s="161"/>
      <c r="BA49" s="161"/>
      <c r="BB49" s="161"/>
      <c r="BC49" s="161"/>
      <c r="BD49" s="161"/>
      <c r="BE49" s="161"/>
      <c r="BF49" s="161"/>
      <c r="BG49" s="161"/>
      <c r="BH49" s="161"/>
      <c r="BI49" s="161"/>
      <c r="BJ49" s="161"/>
      <c r="BK49" s="161"/>
      <c r="BL49" s="161"/>
      <c r="BM49" s="161"/>
      <c r="BN49" s="161"/>
      <c r="BO49" s="161"/>
      <c r="BP49" s="161"/>
      <c r="BQ49" s="161"/>
      <c r="BR49" s="161"/>
      <c r="BS49" s="161"/>
      <c r="BT49" s="161"/>
      <c r="BU49" s="161"/>
      <c r="BV49" s="161"/>
      <c r="BW49" s="161"/>
      <c r="BX49" s="161"/>
      <c r="BY49" s="161"/>
      <c r="BZ49" s="161"/>
      <c r="CA49" s="161"/>
      <c r="CB49" s="161"/>
      <c r="CC49" s="161"/>
      <c r="CD49" s="161"/>
      <c r="CE49" s="161"/>
      <c r="CF49" s="161"/>
      <c r="CG49" s="161"/>
      <c r="CH49" s="161"/>
      <c r="CI49" s="161"/>
      <c r="CJ49" s="161"/>
      <c r="CK49" s="161"/>
      <c r="CL49" s="161"/>
      <c r="CM49" s="161"/>
      <c r="CN49" s="161"/>
      <c r="CO49" s="161"/>
      <c r="CP49" s="161"/>
      <c r="CQ49" s="161"/>
      <c r="CR49" s="161"/>
      <c r="CS49" s="161"/>
      <c r="CT49" s="161"/>
      <c r="CU49" s="161"/>
      <c r="CV49" s="161"/>
      <c r="CW49" s="161"/>
      <c r="CX49" s="161"/>
      <c r="CY49" s="161"/>
      <c r="CZ49" s="161"/>
      <c r="DA49" s="161"/>
      <c r="DB49" s="161"/>
      <c r="DC49" s="161"/>
      <c r="DD49" s="161"/>
      <c r="DE49" s="161"/>
      <c r="DF49" s="161"/>
      <c r="DG49" s="161"/>
      <c r="DH49" s="161"/>
      <c r="DI49" s="161"/>
      <c r="DJ49" s="161"/>
      <c r="DK49" s="161"/>
      <c r="DL49" s="161"/>
      <c r="DM49" s="161"/>
      <c r="DN49" s="161"/>
      <c r="DO49" s="161"/>
      <c r="DP49" s="161"/>
      <c r="DQ49" s="161"/>
      <c r="DR49" s="161"/>
      <c r="DS49" s="161"/>
      <c r="DT49" s="161"/>
      <c r="DU49" s="161"/>
      <c r="DV49" s="161"/>
      <c r="DW49" s="161"/>
      <c r="DX49" s="161"/>
      <c r="DY49" s="161"/>
      <c r="DZ49" s="161"/>
      <c r="EA49" s="161"/>
    </row>
    <row r="50" spans="2:131" ht="17.100000000000001" customHeight="1">
      <c r="B50" s="162">
        <v>4</v>
      </c>
      <c r="C50" s="162" t="s">
        <v>658</v>
      </c>
      <c r="D50" s="163"/>
      <c r="E50" s="164"/>
      <c r="F50" s="164"/>
      <c r="G50" s="164" t="s">
        <v>959</v>
      </c>
      <c r="H50" s="165"/>
      <c r="I50" s="145" t="s">
        <v>836</v>
      </c>
      <c r="J50" s="145" t="s">
        <v>836</v>
      </c>
      <c r="K50" s="61"/>
      <c r="L50" s="123"/>
      <c r="M50" s="145"/>
      <c r="N50" s="145" t="s">
        <v>836</v>
      </c>
      <c r="O50" s="61"/>
      <c r="P50" s="61"/>
      <c r="Q50" s="61"/>
      <c r="R50" s="61"/>
      <c r="S50" s="61"/>
      <c r="T50" s="61"/>
      <c r="U50" s="63"/>
      <c r="V50" s="64">
        <v>45180</v>
      </c>
      <c r="W50" s="61">
        <v>5</v>
      </c>
      <c r="X50" s="140">
        <f>IF(AND(V50="",W50="")=TRUE,"",WORKDAY(V50,W50-1,Holidays))</f>
        <v>45184</v>
      </c>
      <c r="Y50" s="64">
        <v>45175</v>
      </c>
      <c r="Z50" s="126">
        <f ca="1">IF(AND(Y50="",AA50="")=TRUE,"",IF(AND(Y50&gt;0,AA50="")=TRUE,NETWORKDAYS(Y50,TODAY(),Holidays),NETWORKDAYS(Y50,AA50,Holidays)))</f>
        <v>13</v>
      </c>
      <c r="AA50" s="65">
        <v>45191</v>
      </c>
      <c r="AB50" s="66">
        <v>1</v>
      </c>
      <c r="AC50" s="125" t="str">
        <f>IF(AB50=100%,"Completed",IF(AND(AB50&lt;100%,AB50&gt;0%)=TRUE,"In-Progress","Open"))</f>
        <v>Completed</v>
      </c>
      <c r="AD50" s="152"/>
      <c r="AE50" s="160">
        <v>45135</v>
      </c>
      <c r="AF50" s="161"/>
      <c r="AG50" s="161"/>
      <c r="AH50" s="161"/>
      <c r="AI50" s="161"/>
      <c r="AJ50" s="161"/>
      <c r="AK50" s="161"/>
      <c r="AL50" s="161"/>
      <c r="AM50" s="161"/>
      <c r="AN50" s="161"/>
      <c r="AO50" s="161"/>
      <c r="AP50" s="161"/>
      <c r="AQ50" s="161"/>
      <c r="AR50" s="161"/>
      <c r="AS50" s="161"/>
      <c r="AT50" s="161"/>
      <c r="AU50" s="161"/>
      <c r="AV50" s="161"/>
      <c r="AW50" s="161"/>
      <c r="AX50" s="161"/>
      <c r="AY50" s="161"/>
      <c r="AZ50" s="161"/>
      <c r="BA50" s="161"/>
      <c r="BB50" s="161"/>
      <c r="BC50" s="161"/>
      <c r="BD50" s="161"/>
      <c r="BE50" s="161"/>
      <c r="BF50" s="161"/>
      <c r="BG50" s="161"/>
      <c r="BH50" s="161"/>
      <c r="BI50" s="161"/>
      <c r="BJ50" s="161"/>
      <c r="BK50" s="161"/>
      <c r="BL50" s="161"/>
      <c r="BM50" s="161"/>
      <c r="BN50" s="161"/>
      <c r="BO50" s="161"/>
      <c r="BP50" s="161"/>
      <c r="BQ50" s="161"/>
      <c r="BR50" s="161"/>
      <c r="BS50" s="161"/>
      <c r="BT50" s="161"/>
      <c r="BU50" s="161"/>
      <c r="BV50" s="161"/>
      <c r="BW50" s="161"/>
      <c r="BX50" s="161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61"/>
      <c r="CK50" s="161"/>
      <c r="CL50" s="161"/>
      <c r="CM50" s="161"/>
      <c r="CN50" s="161"/>
      <c r="CO50" s="161"/>
      <c r="CP50" s="161"/>
      <c r="CQ50" s="161"/>
      <c r="CR50" s="161"/>
      <c r="CS50" s="161"/>
      <c r="CT50" s="161"/>
      <c r="CU50" s="161"/>
      <c r="CV50" s="161"/>
      <c r="CW50" s="161"/>
      <c r="CX50" s="161"/>
      <c r="CY50" s="161"/>
      <c r="CZ50" s="161"/>
      <c r="DA50" s="161"/>
      <c r="DB50" s="161"/>
      <c r="DC50" s="161"/>
      <c r="DD50" s="161"/>
      <c r="DE50" s="161"/>
      <c r="DF50" s="161"/>
      <c r="DG50" s="161"/>
      <c r="DH50" s="161"/>
      <c r="DI50" s="161"/>
      <c r="DJ50" s="161"/>
      <c r="DK50" s="161"/>
      <c r="DL50" s="161"/>
      <c r="DM50" s="161"/>
      <c r="DN50" s="161"/>
      <c r="DO50" s="161"/>
      <c r="DP50" s="161"/>
      <c r="DQ50" s="161"/>
      <c r="DR50" s="161"/>
      <c r="DS50" s="161"/>
      <c r="DT50" s="161"/>
      <c r="DU50" s="161"/>
      <c r="DV50" s="161"/>
      <c r="DW50" s="161"/>
      <c r="DX50" s="161"/>
      <c r="DY50" s="161"/>
      <c r="DZ50" s="161"/>
      <c r="EA50" s="161"/>
    </row>
    <row r="51" spans="2:131" ht="17.100000000000001" customHeight="1">
      <c r="B51" s="162">
        <v>4</v>
      </c>
      <c r="C51" s="162" t="s">
        <v>658</v>
      </c>
      <c r="D51" s="163"/>
      <c r="E51" s="164"/>
      <c r="F51" s="164"/>
      <c r="G51" s="164" t="s">
        <v>960</v>
      </c>
      <c r="H51" s="165"/>
      <c r="I51" s="145" t="s">
        <v>836</v>
      </c>
      <c r="J51" s="145" t="s">
        <v>836</v>
      </c>
      <c r="K51" s="61"/>
      <c r="L51" s="123"/>
      <c r="M51" s="145"/>
      <c r="N51" s="145" t="s">
        <v>836</v>
      </c>
      <c r="O51" s="61"/>
      <c r="P51" s="61"/>
      <c r="Q51" s="61"/>
      <c r="R51" s="61"/>
      <c r="S51" s="61"/>
      <c r="T51" s="61"/>
      <c r="U51" s="63"/>
      <c r="V51" s="64">
        <v>45191</v>
      </c>
      <c r="W51" s="61">
        <v>2</v>
      </c>
      <c r="X51" s="140">
        <f>IF(AND(V51="",W51="")=TRUE,"",WORKDAY(V51,W51-1,Holidays))</f>
        <v>45194</v>
      </c>
      <c r="Y51" s="64">
        <v>45191</v>
      </c>
      <c r="Z51" s="126">
        <f ca="1">IF(AND(Y51="",AA51="")=TRUE,"",IF(AND(Y51&gt;0,AA51="")=TRUE,NETWORKDAYS(Y51,TODAY(),Holidays),NETWORKDAYS(Y51,AA51,Holidays)))</f>
        <v>2</v>
      </c>
      <c r="AA51" s="65">
        <v>45194</v>
      </c>
      <c r="AB51" s="66">
        <v>1</v>
      </c>
      <c r="AC51" s="125" t="str">
        <f>IF(AB51=100%,"Completed",IF(AND(AB51&lt;100%,AB51&gt;0%)=TRUE,"In-Progress","Open"))</f>
        <v>Completed</v>
      </c>
      <c r="AD51" s="152"/>
      <c r="AE51" s="160">
        <v>45138</v>
      </c>
      <c r="AF51" s="161"/>
      <c r="AG51" s="161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1"/>
      <c r="AS51" s="161"/>
      <c r="AT51" s="161"/>
      <c r="AU51" s="161"/>
      <c r="AV51" s="161"/>
      <c r="AW51" s="161"/>
      <c r="AX51" s="161"/>
      <c r="AY51" s="161"/>
      <c r="AZ51" s="161"/>
      <c r="BA51" s="161"/>
      <c r="BB51" s="161"/>
      <c r="BC51" s="161"/>
      <c r="BD51" s="161"/>
      <c r="BE51" s="161"/>
      <c r="BF51" s="161"/>
      <c r="BG51" s="161"/>
      <c r="BH51" s="161"/>
      <c r="BI51" s="161"/>
      <c r="BJ51" s="161"/>
      <c r="BK51" s="161"/>
      <c r="BL51" s="161"/>
      <c r="BM51" s="161"/>
      <c r="BN51" s="161"/>
      <c r="BO51" s="161"/>
      <c r="BP51" s="161"/>
      <c r="BQ51" s="161"/>
      <c r="BR51" s="161"/>
      <c r="BS51" s="161"/>
      <c r="BT51" s="161"/>
      <c r="BU51" s="161"/>
      <c r="BV51" s="161"/>
      <c r="BW51" s="161"/>
      <c r="BX51" s="161"/>
      <c r="BY51" s="161"/>
      <c r="BZ51" s="161"/>
      <c r="CA51" s="161"/>
      <c r="CB51" s="161"/>
      <c r="CC51" s="161"/>
      <c r="CD51" s="161"/>
      <c r="CE51" s="161"/>
      <c r="CF51" s="161"/>
      <c r="CG51" s="161"/>
      <c r="CH51" s="161"/>
      <c r="CI51" s="161"/>
      <c r="CJ51" s="161"/>
      <c r="CK51" s="161"/>
      <c r="CL51" s="161"/>
      <c r="CM51" s="161"/>
      <c r="CN51" s="161"/>
      <c r="CO51" s="161"/>
      <c r="CP51" s="161"/>
      <c r="CQ51" s="161"/>
      <c r="CR51" s="161"/>
      <c r="CS51" s="161"/>
      <c r="CT51" s="161"/>
      <c r="CU51" s="161"/>
      <c r="CV51" s="161"/>
      <c r="CW51" s="161"/>
      <c r="CX51" s="161"/>
      <c r="CY51" s="161"/>
      <c r="CZ51" s="161"/>
      <c r="DA51" s="161"/>
      <c r="DB51" s="161"/>
      <c r="DC51" s="161"/>
      <c r="DD51" s="161"/>
      <c r="DE51" s="161"/>
      <c r="DF51" s="161"/>
      <c r="DG51" s="161"/>
      <c r="DH51" s="161"/>
      <c r="DI51" s="161"/>
      <c r="DJ51" s="161"/>
      <c r="DK51" s="161"/>
      <c r="DL51" s="161"/>
      <c r="DM51" s="161"/>
      <c r="DN51" s="161"/>
      <c r="DO51" s="161"/>
      <c r="DP51" s="161"/>
      <c r="DQ51" s="161"/>
      <c r="DR51" s="161"/>
      <c r="DS51" s="161"/>
      <c r="DT51" s="161"/>
      <c r="DU51" s="161"/>
      <c r="DV51" s="161"/>
      <c r="DW51" s="161"/>
      <c r="DX51" s="161"/>
      <c r="DY51" s="161"/>
      <c r="DZ51" s="161"/>
      <c r="EA51" s="161"/>
    </row>
    <row r="52" spans="2:131" ht="17.100000000000001" customHeight="1">
      <c r="B52" s="92">
        <v>2</v>
      </c>
      <c r="C52" s="92" t="s">
        <v>655</v>
      </c>
      <c r="D52" s="93"/>
      <c r="E52" s="94" t="s">
        <v>871</v>
      </c>
      <c r="F52" s="94"/>
      <c r="G52" s="94"/>
      <c r="H52" s="95"/>
      <c r="I52" s="118" t="str">
        <f t="shared" ref="I52:U52" si="36">IF(COUNTIF(I53:I82,"●")&gt;0,"●","")</f>
        <v>●</v>
      </c>
      <c r="J52" s="91" t="str">
        <f t="shared" si="36"/>
        <v>●</v>
      </c>
      <c r="K52" s="91" t="str">
        <f t="shared" si="36"/>
        <v/>
      </c>
      <c r="L52" s="118" t="str">
        <f t="shared" si="36"/>
        <v/>
      </c>
      <c r="M52" s="91" t="str">
        <f t="shared" si="36"/>
        <v>●</v>
      </c>
      <c r="N52" s="144" t="str">
        <f t="shared" si="36"/>
        <v/>
      </c>
      <c r="O52" s="144" t="str">
        <f t="shared" si="36"/>
        <v/>
      </c>
      <c r="P52" s="144" t="str">
        <f t="shared" si="36"/>
        <v/>
      </c>
      <c r="Q52" s="144" t="str">
        <f t="shared" si="36"/>
        <v/>
      </c>
      <c r="R52" s="144" t="str">
        <f t="shared" si="36"/>
        <v/>
      </c>
      <c r="S52" s="144" t="str">
        <f t="shared" si="36"/>
        <v/>
      </c>
      <c r="T52" s="144" t="str">
        <f t="shared" si="36"/>
        <v/>
      </c>
      <c r="U52" s="144" t="str">
        <f t="shared" si="36"/>
        <v/>
      </c>
      <c r="V52" s="96">
        <f>IF(MIN(V53:V82)=0,"",MIN(V53:V82))</f>
        <v>45089</v>
      </c>
      <c r="W52" s="97">
        <f ca="1">IF(AND(V52="",X52="")=TRUE,"",IF(AND(V52&gt;0,X52="")=TRUE,NETWORKDAYS(V52,TODAY(),Holidays),NETWORKDAYS(V52,X52,Holidays)))</f>
        <v>55</v>
      </c>
      <c r="X52" s="139">
        <f>IF(MAX(X53:X82)=0,"",MAX(X53:X82))</f>
        <v>45166</v>
      </c>
      <c r="Y52" s="96">
        <f>IF(MIN(Y53:Y82)=0,"",MIN(Y53:Y82))</f>
        <v>45096</v>
      </c>
      <c r="Z52" s="97">
        <f t="shared" ref="Z52:Z70" ca="1" si="37">IF(AND(Y52="",AA52="")=TRUE,"",IF(AND(Y52&gt;0,AA52="")=TRUE,NETWORKDAYS(Y52,TODAY(),Holidays),NETWORKDAYS(Y52,AA52,Holidays)))</f>
        <v>68</v>
      </c>
      <c r="AA52" s="98">
        <f>IF(MAX(AA53:AA82)=0,"",MAX(AA53:AA82))</f>
        <v>45190</v>
      </c>
      <c r="AB52" s="99">
        <f>IFERROR(AVERAGE(AB53,AB60,AB63,AB69,AB73,AB79,AB83),"")</f>
        <v>1</v>
      </c>
      <c r="AC52" s="100" t="str">
        <f t="shared" si="2"/>
        <v>Completed</v>
      </c>
      <c r="AD52" s="154"/>
      <c r="AE52" s="80">
        <v>45139</v>
      </c>
      <c r="AF52" s="81"/>
      <c r="AG52" s="81"/>
      <c r="AH52" s="81"/>
      <c r="AI52" s="81"/>
      <c r="AJ52" s="81"/>
      <c r="AK52" s="81"/>
      <c r="AL52" s="81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  <c r="BA52" s="81"/>
      <c r="BB52" s="81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81"/>
      <c r="CF52" s="81"/>
      <c r="CG52" s="81"/>
      <c r="CH52" s="81"/>
      <c r="CI52" s="81"/>
      <c r="CJ52" s="81"/>
      <c r="CK52" s="81"/>
      <c r="CL52" s="81"/>
      <c r="CM52" s="81"/>
      <c r="CN52" s="81"/>
      <c r="CO52" s="81"/>
      <c r="CP52" s="81"/>
      <c r="CQ52" s="81"/>
      <c r="CR52" s="81"/>
      <c r="CS52" s="81"/>
      <c r="CT52" s="81"/>
      <c r="CU52" s="81"/>
      <c r="CV52" s="81"/>
      <c r="CW52" s="81"/>
      <c r="CX52" s="81"/>
      <c r="CY52" s="81"/>
      <c r="CZ52" s="81"/>
      <c r="DA52" s="81"/>
      <c r="DB52" s="81"/>
      <c r="DC52" s="81"/>
      <c r="DD52" s="81"/>
      <c r="DE52" s="81"/>
      <c r="DF52" s="81"/>
      <c r="DG52" s="81"/>
      <c r="DH52" s="81"/>
      <c r="DI52" s="81"/>
      <c r="DJ52" s="81"/>
      <c r="DK52" s="81"/>
      <c r="DL52" s="81"/>
      <c r="DM52" s="81"/>
      <c r="DN52" s="81"/>
      <c r="DO52" s="81"/>
      <c r="DP52" s="81"/>
      <c r="DQ52" s="81"/>
      <c r="DR52" s="81"/>
      <c r="DS52" s="81"/>
      <c r="DT52" s="81"/>
      <c r="DU52" s="81"/>
      <c r="DV52" s="81"/>
      <c r="DW52" s="81"/>
      <c r="DX52" s="81"/>
      <c r="DY52" s="81"/>
      <c r="DZ52" s="81"/>
      <c r="EA52" s="81"/>
    </row>
    <row r="53" spans="2:131" ht="17.100000000000001" customHeight="1">
      <c r="B53" s="92">
        <v>3</v>
      </c>
      <c r="C53" s="92" t="s">
        <v>655</v>
      </c>
      <c r="D53" s="93"/>
      <c r="E53" s="94"/>
      <c r="F53" s="94" t="s">
        <v>872</v>
      </c>
      <c r="G53" s="94"/>
      <c r="H53" s="95"/>
      <c r="I53" s="118" t="str">
        <f>IF(COUNTIF(I54:I59,"●")&gt;0,"●","")</f>
        <v>●</v>
      </c>
      <c r="J53" s="91" t="str">
        <f t="shared" ref="J53:K53" si="38">IF(COUNTIF(J54:J59,"●")&gt;0,"●","")</f>
        <v/>
      </c>
      <c r="K53" s="91" t="str">
        <f t="shared" si="38"/>
        <v/>
      </c>
      <c r="L53" s="118" t="str">
        <f>IF(COUNTIF(L54:L59,"●")&gt;0,"●","")</f>
        <v/>
      </c>
      <c r="M53" s="91" t="str">
        <f t="shared" ref="M53:U53" si="39">IF(COUNTIF(M54:M59,"●")&gt;0,"●","")</f>
        <v>●</v>
      </c>
      <c r="N53" s="144" t="str">
        <f t="shared" si="39"/>
        <v/>
      </c>
      <c r="O53" s="144" t="str">
        <f t="shared" si="39"/>
        <v/>
      </c>
      <c r="P53" s="144" t="str">
        <f t="shared" ref="P53" si="40">IF(COUNTIF(P54:P59,"●")&gt;0,"●","")</f>
        <v/>
      </c>
      <c r="Q53" s="144" t="str">
        <f t="shared" si="39"/>
        <v/>
      </c>
      <c r="R53" s="144" t="str">
        <f t="shared" si="39"/>
        <v/>
      </c>
      <c r="S53" s="144" t="str">
        <f t="shared" si="39"/>
        <v/>
      </c>
      <c r="T53" s="144" t="str">
        <f t="shared" si="39"/>
        <v/>
      </c>
      <c r="U53" s="144" t="str">
        <f t="shared" si="39"/>
        <v/>
      </c>
      <c r="V53" s="96">
        <f>IF(MIN(V54:V59)=0,"",MIN(V54:V59))</f>
        <v>45089</v>
      </c>
      <c r="W53" s="97">
        <f ca="1">IF(AND(V53="",X53="")=TRUE,"",IF(AND(V53&gt;0,X53="")=TRUE,NETWORKDAYS(V53,TODAY(),Holidays),NETWORKDAYS(V53,X53,Holidays)))</f>
        <v>20</v>
      </c>
      <c r="X53" s="138">
        <f>IF(MAX(X54:X59)=0,"",MAX(X54:X59))</f>
        <v>45114</v>
      </c>
      <c r="Y53" s="96">
        <f>IF(MIN(Y54:Y59)=0,"",MIN(Y54:Y59))</f>
        <v>45096</v>
      </c>
      <c r="Z53" s="97">
        <f t="shared" ca="1" si="37"/>
        <v>15</v>
      </c>
      <c r="AA53" s="98">
        <f>IF(MAX(AA54:AA59)=0,"",MAX(AA54:AA59))</f>
        <v>45114</v>
      </c>
      <c r="AB53" s="99">
        <f>IFERROR(AVERAGE(AB54:AB59),"")</f>
        <v>1</v>
      </c>
      <c r="AC53" s="100" t="str">
        <f t="shared" si="2"/>
        <v>Completed</v>
      </c>
      <c r="AD53" s="154"/>
      <c r="AE53" s="80">
        <v>45140</v>
      </c>
      <c r="AF53" s="81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81"/>
      <c r="BB53" s="81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81"/>
      <c r="CF53" s="81"/>
      <c r="CG53" s="81"/>
      <c r="CH53" s="81"/>
      <c r="CI53" s="81"/>
      <c r="CJ53" s="81"/>
      <c r="CK53" s="81"/>
      <c r="CL53" s="81"/>
      <c r="CM53" s="81"/>
      <c r="CN53" s="81"/>
      <c r="CO53" s="81"/>
      <c r="CP53" s="81"/>
      <c r="CQ53" s="81"/>
      <c r="CR53" s="81"/>
      <c r="CS53" s="81"/>
      <c r="CT53" s="81"/>
      <c r="CU53" s="81"/>
      <c r="CV53" s="81"/>
      <c r="CW53" s="81"/>
      <c r="CX53" s="81"/>
      <c r="CY53" s="81"/>
      <c r="CZ53" s="81"/>
      <c r="DA53" s="81"/>
      <c r="DB53" s="81"/>
      <c r="DC53" s="81"/>
      <c r="DD53" s="81"/>
      <c r="DE53" s="81"/>
      <c r="DF53" s="81"/>
      <c r="DG53" s="81"/>
      <c r="DH53" s="81"/>
      <c r="DI53" s="81"/>
      <c r="DJ53" s="81"/>
      <c r="DK53" s="81"/>
      <c r="DL53" s="81"/>
      <c r="DM53" s="81"/>
      <c r="DN53" s="81"/>
      <c r="DO53" s="81"/>
      <c r="DP53" s="81"/>
      <c r="DQ53" s="81"/>
      <c r="DR53" s="81"/>
      <c r="DS53" s="81"/>
      <c r="DT53" s="81"/>
      <c r="DU53" s="81"/>
      <c r="DV53" s="81"/>
      <c r="DW53" s="81"/>
      <c r="DX53" s="81"/>
      <c r="DY53" s="81"/>
      <c r="DZ53" s="81"/>
      <c r="EA53" s="81"/>
    </row>
    <row r="54" spans="2:131" ht="17.100000000000001" customHeight="1">
      <c r="B54" s="58">
        <v>4</v>
      </c>
      <c r="C54" s="58" t="s">
        <v>658</v>
      </c>
      <c r="D54" s="59"/>
      <c r="E54" s="60"/>
      <c r="F54" s="60"/>
      <c r="G54" s="60" t="s">
        <v>873</v>
      </c>
      <c r="H54" s="62"/>
      <c r="I54" s="145" t="s">
        <v>836</v>
      </c>
      <c r="J54" s="61"/>
      <c r="K54" s="61"/>
      <c r="L54" s="123"/>
      <c r="M54" s="145" t="s">
        <v>836</v>
      </c>
      <c r="N54" s="145"/>
      <c r="O54" s="61"/>
      <c r="P54" s="61"/>
      <c r="Q54" s="61"/>
      <c r="R54" s="61"/>
      <c r="S54" s="61"/>
      <c r="T54" s="61"/>
      <c r="U54" s="63"/>
      <c r="V54" s="64">
        <v>45089</v>
      </c>
      <c r="W54" s="61">
        <v>5</v>
      </c>
      <c r="X54" s="140">
        <f t="shared" ref="X54:X59" si="41">IF(AND(V54="",W54="")=TRUE,"",WORKDAY(V54,W54-1,Holidays))</f>
        <v>45093</v>
      </c>
      <c r="Y54" s="64">
        <v>45096</v>
      </c>
      <c r="Z54" s="126">
        <f t="shared" ca="1" si="37"/>
        <v>4</v>
      </c>
      <c r="AA54" s="65">
        <v>45099</v>
      </c>
      <c r="AB54" s="66">
        <v>1</v>
      </c>
      <c r="AC54" s="125" t="str">
        <f t="shared" si="2"/>
        <v>Completed</v>
      </c>
      <c r="AD54" s="152"/>
      <c r="AE54" s="80">
        <v>45141</v>
      </c>
      <c r="AF54" s="81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81"/>
      <c r="CF54" s="81"/>
      <c r="CG54" s="81"/>
      <c r="CH54" s="81"/>
      <c r="CI54" s="81"/>
      <c r="CJ54" s="81"/>
      <c r="CK54" s="81"/>
      <c r="CL54" s="81"/>
      <c r="CM54" s="81"/>
      <c r="CN54" s="81"/>
      <c r="CO54" s="81"/>
      <c r="CP54" s="81"/>
      <c r="CQ54" s="81"/>
      <c r="CR54" s="81"/>
      <c r="CS54" s="81"/>
      <c r="CT54" s="81"/>
      <c r="CU54" s="81"/>
      <c r="CV54" s="81"/>
      <c r="CW54" s="81"/>
      <c r="CX54" s="81"/>
      <c r="CY54" s="81"/>
      <c r="CZ54" s="81"/>
      <c r="DA54" s="81"/>
      <c r="DB54" s="81"/>
      <c r="DC54" s="81"/>
      <c r="DD54" s="81"/>
      <c r="DE54" s="81"/>
      <c r="DF54" s="81"/>
      <c r="DG54" s="81"/>
      <c r="DH54" s="81"/>
      <c r="DI54" s="81"/>
      <c r="DJ54" s="81"/>
      <c r="DK54" s="81"/>
      <c r="DL54" s="81"/>
      <c r="DM54" s="81"/>
      <c r="DN54" s="81"/>
      <c r="DO54" s="81"/>
      <c r="DP54" s="81"/>
      <c r="DQ54" s="81"/>
      <c r="DR54" s="81"/>
      <c r="DS54" s="81"/>
      <c r="DT54" s="81"/>
      <c r="DU54" s="81"/>
      <c r="DV54" s="81"/>
      <c r="DW54" s="81"/>
      <c r="DX54" s="81"/>
      <c r="DY54" s="81"/>
      <c r="DZ54" s="81"/>
      <c r="EA54" s="81"/>
    </row>
    <row r="55" spans="2:131" ht="17.100000000000001" customHeight="1">
      <c r="B55" s="58">
        <v>4</v>
      </c>
      <c r="C55" s="58" t="s">
        <v>658</v>
      </c>
      <c r="D55" s="59"/>
      <c r="E55" s="60"/>
      <c r="F55" s="60"/>
      <c r="G55" s="60" t="s">
        <v>874</v>
      </c>
      <c r="H55" s="62"/>
      <c r="I55" s="145" t="s">
        <v>836</v>
      </c>
      <c r="J55" s="61"/>
      <c r="K55" s="61"/>
      <c r="L55" s="123"/>
      <c r="M55" s="145" t="s">
        <v>836</v>
      </c>
      <c r="N55" s="145"/>
      <c r="O55" s="61"/>
      <c r="P55" s="61"/>
      <c r="Q55" s="61"/>
      <c r="R55" s="61"/>
      <c r="S55" s="61"/>
      <c r="T55" s="61"/>
      <c r="U55" s="63"/>
      <c r="V55" s="64">
        <v>45096</v>
      </c>
      <c r="W55" s="61">
        <v>5</v>
      </c>
      <c r="X55" s="140">
        <f t="shared" si="41"/>
        <v>45100</v>
      </c>
      <c r="Y55" s="64">
        <v>45105</v>
      </c>
      <c r="Z55" s="126">
        <f t="shared" ca="1" si="37"/>
        <v>6</v>
      </c>
      <c r="AA55" s="65">
        <v>45112</v>
      </c>
      <c r="AB55" s="66">
        <v>1</v>
      </c>
      <c r="AC55" s="125" t="str">
        <f t="shared" si="2"/>
        <v>Completed</v>
      </c>
      <c r="AD55" s="152"/>
      <c r="AE55" s="80">
        <v>45142</v>
      </c>
      <c r="AF55" s="81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81"/>
      <c r="CN55" s="81"/>
      <c r="CO55" s="81"/>
      <c r="CP55" s="81"/>
      <c r="CQ55" s="81"/>
      <c r="CR55" s="81"/>
      <c r="CS55" s="81"/>
      <c r="CT55" s="81"/>
      <c r="CU55" s="81"/>
      <c r="CV55" s="81"/>
      <c r="CW55" s="81"/>
      <c r="CX55" s="81"/>
      <c r="CY55" s="81"/>
      <c r="CZ55" s="81"/>
      <c r="DA55" s="81"/>
      <c r="DB55" s="81"/>
      <c r="DC55" s="81"/>
      <c r="DD55" s="81"/>
      <c r="DE55" s="81"/>
      <c r="DF55" s="81"/>
      <c r="DG55" s="81"/>
      <c r="DH55" s="81"/>
      <c r="DI55" s="81"/>
      <c r="DJ55" s="81"/>
      <c r="DK55" s="81"/>
      <c r="DL55" s="81"/>
      <c r="DM55" s="81"/>
      <c r="DN55" s="81"/>
      <c r="DO55" s="81"/>
      <c r="DP55" s="81"/>
      <c r="DQ55" s="81"/>
      <c r="DR55" s="81"/>
      <c r="DS55" s="81"/>
      <c r="DT55" s="81"/>
      <c r="DU55" s="81"/>
      <c r="DV55" s="81"/>
      <c r="DW55" s="81"/>
      <c r="DX55" s="81"/>
      <c r="DY55" s="81"/>
      <c r="DZ55" s="81"/>
      <c r="EA55" s="81"/>
    </row>
    <row r="56" spans="2:131" ht="17.100000000000001" customHeight="1">
      <c r="B56" s="58">
        <v>4</v>
      </c>
      <c r="C56" s="58" t="s">
        <v>658</v>
      </c>
      <c r="D56" s="59"/>
      <c r="E56" s="60"/>
      <c r="F56" s="60"/>
      <c r="G56" s="60" t="s">
        <v>875</v>
      </c>
      <c r="H56" s="62"/>
      <c r="I56" s="145" t="s">
        <v>836</v>
      </c>
      <c r="J56" s="61"/>
      <c r="K56" s="61"/>
      <c r="L56" s="123"/>
      <c r="M56" s="145" t="s">
        <v>836</v>
      </c>
      <c r="N56" s="145"/>
      <c r="O56" s="61"/>
      <c r="P56" s="61"/>
      <c r="Q56" s="61"/>
      <c r="R56" s="61"/>
      <c r="S56" s="61"/>
      <c r="T56" s="61"/>
      <c r="U56" s="63"/>
      <c r="V56" s="64">
        <v>45103</v>
      </c>
      <c r="W56" s="61">
        <v>3</v>
      </c>
      <c r="X56" s="140">
        <f t="shared" si="41"/>
        <v>45105</v>
      </c>
      <c r="Y56" s="64">
        <v>45103</v>
      </c>
      <c r="Z56" s="126">
        <f t="shared" ca="1" si="37"/>
        <v>3</v>
      </c>
      <c r="AA56" s="65">
        <v>45105</v>
      </c>
      <c r="AB56" s="66">
        <v>1</v>
      </c>
      <c r="AC56" s="125" t="str">
        <f t="shared" si="2"/>
        <v>Completed</v>
      </c>
      <c r="AD56" s="152"/>
      <c r="AE56" s="80">
        <v>45145</v>
      </c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81"/>
      <c r="CN56" s="81"/>
      <c r="CO56" s="81"/>
      <c r="CP56" s="81"/>
      <c r="CQ56" s="81"/>
      <c r="CR56" s="81"/>
      <c r="CS56" s="81"/>
      <c r="CT56" s="81"/>
      <c r="CU56" s="81"/>
      <c r="CV56" s="81"/>
      <c r="CW56" s="81"/>
      <c r="CX56" s="81"/>
      <c r="CY56" s="81"/>
      <c r="CZ56" s="81"/>
      <c r="DA56" s="81"/>
      <c r="DB56" s="81"/>
      <c r="DC56" s="81"/>
      <c r="DD56" s="81"/>
      <c r="DE56" s="81"/>
      <c r="DF56" s="81"/>
      <c r="DG56" s="81"/>
      <c r="DH56" s="81"/>
      <c r="DI56" s="81"/>
      <c r="DJ56" s="81"/>
      <c r="DK56" s="81"/>
      <c r="DL56" s="81"/>
      <c r="DM56" s="81"/>
      <c r="DN56" s="81"/>
      <c r="DO56" s="81"/>
      <c r="DP56" s="81"/>
      <c r="DQ56" s="81"/>
      <c r="DR56" s="81"/>
      <c r="DS56" s="81"/>
      <c r="DT56" s="81"/>
      <c r="DU56" s="81"/>
      <c r="DV56" s="81"/>
      <c r="DW56" s="81"/>
      <c r="DX56" s="81"/>
      <c r="DY56" s="81"/>
      <c r="DZ56" s="81"/>
      <c r="EA56" s="81"/>
    </row>
    <row r="57" spans="2:131" ht="17.100000000000001" customHeight="1">
      <c r="B57" s="58">
        <v>4</v>
      </c>
      <c r="C57" s="58" t="s">
        <v>658</v>
      </c>
      <c r="D57" s="59"/>
      <c r="E57" s="60"/>
      <c r="F57" s="60"/>
      <c r="G57" s="60" t="s">
        <v>876</v>
      </c>
      <c r="H57" s="62"/>
      <c r="I57" s="145" t="s">
        <v>836</v>
      </c>
      <c r="J57" s="61"/>
      <c r="K57" s="61"/>
      <c r="L57" s="123"/>
      <c r="M57" s="145" t="s">
        <v>836</v>
      </c>
      <c r="N57" s="145"/>
      <c r="O57" s="61"/>
      <c r="P57" s="61"/>
      <c r="Q57" s="61"/>
      <c r="R57" s="61"/>
      <c r="S57" s="61"/>
      <c r="T57" s="61"/>
      <c r="U57" s="63"/>
      <c r="V57" s="64">
        <v>45106</v>
      </c>
      <c r="W57" s="61">
        <v>3</v>
      </c>
      <c r="X57" s="140">
        <f t="shared" si="41"/>
        <v>45110</v>
      </c>
      <c r="Y57" s="64">
        <v>45099</v>
      </c>
      <c r="Z57" s="126">
        <f t="shared" ca="1" si="37"/>
        <v>2</v>
      </c>
      <c r="AA57" s="65">
        <v>45100</v>
      </c>
      <c r="AB57" s="66">
        <v>1</v>
      </c>
      <c r="AC57" s="125" t="str">
        <f t="shared" si="2"/>
        <v>Completed</v>
      </c>
      <c r="AD57" s="152"/>
      <c r="AE57" s="80">
        <v>45146</v>
      </c>
      <c r="AF57" s="81"/>
      <c r="AG57" s="81"/>
      <c r="AH57" s="81"/>
      <c r="AI57" s="81"/>
      <c r="AJ57" s="81"/>
      <c r="AK57" s="81"/>
      <c r="AL57" s="81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  <c r="BA57" s="81"/>
      <c r="BB57" s="81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81"/>
      <c r="CF57" s="81"/>
      <c r="CG57" s="81"/>
      <c r="CH57" s="81"/>
      <c r="CI57" s="81"/>
      <c r="CJ57" s="81"/>
      <c r="CK57" s="81"/>
      <c r="CL57" s="81"/>
      <c r="CM57" s="81"/>
      <c r="CN57" s="81"/>
      <c r="CO57" s="81"/>
      <c r="CP57" s="81"/>
      <c r="CQ57" s="81"/>
      <c r="CR57" s="81"/>
      <c r="CS57" s="81"/>
      <c r="CT57" s="81"/>
      <c r="CU57" s="81"/>
      <c r="CV57" s="81"/>
      <c r="CW57" s="81"/>
      <c r="CX57" s="81"/>
      <c r="CY57" s="81"/>
      <c r="CZ57" s="81"/>
      <c r="DA57" s="81"/>
      <c r="DB57" s="81"/>
      <c r="DC57" s="81"/>
      <c r="DD57" s="81"/>
      <c r="DE57" s="81"/>
      <c r="DF57" s="81"/>
      <c r="DG57" s="81"/>
      <c r="DH57" s="81"/>
      <c r="DI57" s="81"/>
      <c r="DJ57" s="81"/>
      <c r="DK57" s="81"/>
      <c r="DL57" s="81"/>
      <c r="DM57" s="81"/>
      <c r="DN57" s="81"/>
      <c r="DO57" s="81"/>
      <c r="DP57" s="81"/>
      <c r="DQ57" s="81"/>
      <c r="DR57" s="81"/>
      <c r="DS57" s="81"/>
      <c r="DT57" s="81"/>
      <c r="DU57" s="81"/>
      <c r="DV57" s="81"/>
      <c r="DW57" s="81"/>
      <c r="DX57" s="81"/>
      <c r="DY57" s="81"/>
      <c r="DZ57" s="81"/>
      <c r="EA57" s="81"/>
    </row>
    <row r="58" spans="2:131" ht="17.100000000000001" customHeight="1">
      <c r="B58" s="58">
        <v>4</v>
      </c>
      <c r="C58" s="58" t="s">
        <v>658</v>
      </c>
      <c r="D58" s="59"/>
      <c r="E58" s="60"/>
      <c r="F58" s="60"/>
      <c r="G58" s="60" t="s">
        <v>877</v>
      </c>
      <c r="H58" s="62"/>
      <c r="I58" s="145" t="s">
        <v>836</v>
      </c>
      <c r="J58" s="61"/>
      <c r="K58" s="61"/>
      <c r="L58" s="123"/>
      <c r="M58" s="145" t="s">
        <v>836</v>
      </c>
      <c r="N58" s="145"/>
      <c r="O58" s="61"/>
      <c r="P58" s="61"/>
      <c r="Q58" s="61"/>
      <c r="R58" s="61"/>
      <c r="S58" s="61"/>
      <c r="T58" s="61"/>
      <c r="U58" s="63"/>
      <c r="V58" s="64">
        <v>45111</v>
      </c>
      <c r="W58" s="61">
        <v>3</v>
      </c>
      <c r="X58" s="140">
        <f t="shared" si="41"/>
        <v>45113</v>
      </c>
      <c r="Y58" s="64">
        <v>45113</v>
      </c>
      <c r="Z58" s="126">
        <f t="shared" ca="1" si="37"/>
        <v>2</v>
      </c>
      <c r="AA58" s="65">
        <v>45114</v>
      </c>
      <c r="AB58" s="66">
        <v>1</v>
      </c>
      <c r="AC58" s="125" t="str">
        <f t="shared" si="2"/>
        <v>Completed</v>
      </c>
      <c r="AD58" s="152"/>
      <c r="AE58" s="80">
        <v>45147</v>
      </c>
      <c r="AF58" s="81"/>
      <c r="AG58" s="81"/>
      <c r="AH58" s="81"/>
      <c r="AI58" s="81"/>
      <c r="AJ58" s="81"/>
      <c r="AK58" s="81"/>
      <c r="AL58" s="81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  <c r="BA58" s="81"/>
      <c r="BB58" s="81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81"/>
      <c r="CH58" s="81"/>
      <c r="CI58" s="81"/>
      <c r="CJ58" s="81"/>
      <c r="CK58" s="81"/>
      <c r="CL58" s="81"/>
      <c r="CM58" s="81"/>
      <c r="CN58" s="81"/>
      <c r="CO58" s="81"/>
      <c r="CP58" s="81"/>
      <c r="CQ58" s="81"/>
      <c r="CR58" s="81"/>
      <c r="CS58" s="81"/>
      <c r="CT58" s="81"/>
      <c r="CU58" s="81"/>
      <c r="CV58" s="81"/>
      <c r="CW58" s="81"/>
      <c r="CX58" s="81"/>
      <c r="CY58" s="81"/>
      <c r="CZ58" s="81"/>
      <c r="DA58" s="81"/>
      <c r="DB58" s="81"/>
      <c r="DC58" s="81"/>
      <c r="DD58" s="81"/>
      <c r="DE58" s="81"/>
      <c r="DF58" s="81"/>
      <c r="DG58" s="81"/>
      <c r="DH58" s="81"/>
      <c r="DI58" s="81"/>
      <c r="DJ58" s="81"/>
      <c r="DK58" s="81"/>
      <c r="DL58" s="81"/>
      <c r="DM58" s="81"/>
      <c r="DN58" s="81"/>
      <c r="DO58" s="81"/>
      <c r="DP58" s="81"/>
      <c r="DQ58" s="81"/>
      <c r="DR58" s="81"/>
      <c r="DS58" s="81"/>
      <c r="DT58" s="81"/>
      <c r="DU58" s="81"/>
      <c r="DV58" s="81"/>
      <c r="DW58" s="81"/>
      <c r="DX58" s="81"/>
      <c r="DY58" s="81"/>
      <c r="DZ58" s="81"/>
      <c r="EA58" s="81"/>
    </row>
    <row r="59" spans="2:131" ht="17.100000000000001" customHeight="1">
      <c r="B59" s="58">
        <v>4</v>
      </c>
      <c r="C59" s="58" t="s">
        <v>658</v>
      </c>
      <c r="D59" s="59"/>
      <c r="E59" s="60"/>
      <c r="F59" s="60"/>
      <c r="G59" s="60" t="s">
        <v>878</v>
      </c>
      <c r="H59" s="62"/>
      <c r="I59" s="145" t="s">
        <v>836</v>
      </c>
      <c r="J59" s="61"/>
      <c r="K59" s="61"/>
      <c r="L59" s="123"/>
      <c r="M59" s="145" t="s">
        <v>836</v>
      </c>
      <c r="N59" s="145"/>
      <c r="O59" s="61"/>
      <c r="P59" s="61"/>
      <c r="Q59" s="61"/>
      <c r="R59" s="61"/>
      <c r="S59" s="61"/>
      <c r="T59" s="61"/>
      <c r="U59" s="63"/>
      <c r="V59" s="64">
        <v>45114</v>
      </c>
      <c r="W59" s="61">
        <v>1</v>
      </c>
      <c r="X59" s="140">
        <f t="shared" si="41"/>
        <v>45114</v>
      </c>
      <c r="Y59" s="64">
        <v>45114</v>
      </c>
      <c r="Z59" s="126">
        <f t="shared" ca="1" si="37"/>
        <v>1</v>
      </c>
      <c r="AA59" s="65">
        <v>45114</v>
      </c>
      <c r="AB59" s="66">
        <v>1</v>
      </c>
      <c r="AC59" s="125" t="str">
        <f t="shared" si="2"/>
        <v>Completed</v>
      </c>
      <c r="AD59" s="152"/>
      <c r="AE59" s="80">
        <v>45148</v>
      </c>
      <c r="AF59" s="81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  <c r="BA59" s="81"/>
      <c r="BB59" s="81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81"/>
      <c r="CF59" s="81"/>
      <c r="CG59" s="81"/>
      <c r="CH59" s="81"/>
      <c r="CI59" s="81"/>
      <c r="CJ59" s="81"/>
      <c r="CK59" s="81"/>
      <c r="CL59" s="81"/>
      <c r="CM59" s="81"/>
      <c r="CN59" s="81"/>
      <c r="CO59" s="81"/>
      <c r="CP59" s="81"/>
      <c r="CQ59" s="81"/>
      <c r="CR59" s="81"/>
      <c r="CS59" s="81"/>
      <c r="CT59" s="81"/>
      <c r="CU59" s="81"/>
      <c r="CV59" s="81"/>
      <c r="CW59" s="81"/>
      <c r="CX59" s="81"/>
      <c r="CY59" s="81"/>
      <c r="CZ59" s="81"/>
      <c r="DA59" s="81"/>
      <c r="DB59" s="81"/>
      <c r="DC59" s="81"/>
      <c r="DD59" s="81"/>
      <c r="DE59" s="81"/>
      <c r="DF59" s="81"/>
      <c r="DG59" s="81"/>
      <c r="DH59" s="81"/>
      <c r="DI59" s="81"/>
      <c r="DJ59" s="81"/>
      <c r="DK59" s="81"/>
      <c r="DL59" s="81"/>
      <c r="DM59" s="81"/>
      <c r="DN59" s="81"/>
      <c r="DO59" s="81"/>
      <c r="DP59" s="81"/>
      <c r="DQ59" s="81"/>
      <c r="DR59" s="81"/>
      <c r="DS59" s="81"/>
      <c r="DT59" s="81"/>
      <c r="DU59" s="81"/>
      <c r="DV59" s="81"/>
      <c r="DW59" s="81"/>
      <c r="DX59" s="81"/>
      <c r="DY59" s="81"/>
      <c r="DZ59" s="81"/>
      <c r="EA59" s="81"/>
    </row>
    <row r="60" spans="2:131" ht="17.100000000000001" customHeight="1">
      <c r="B60" s="92">
        <v>3</v>
      </c>
      <c r="C60" s="92" t="s">
        <v>655</v>
      </c>
      <c r="D60" s="93"/>
      <c r="E60" s="94"/>
      <c r="F60" s="94" t="s">
        <v>879</v>
      </c>
      <c r="G60" s="94"/>
      <c r="H60" s="95"/>
      <c r="I60" s="118" t="str">
        <f>IF(COUNTIF(I61:I62,"●")&gt;0,"●","")</f>
        <v>●</v>
      </c>
      <c r="J60" s="91" t="str">
        <f t="shared" ref="J60:K60" si="42">IF(COUNTIF(J61:J62,"●")&gt;0,"●","")</f>
        <v/>
      </c>
      <c r="K60" s="91" t="str">
        <f t="shared" si="42"/>
        <v/>
      </c>
      <c r="L60" s="118" t="str">
        <f>IF(COUNTIF(L61:L62,"●")&gt;0,"●","")</f>
        <v/>
      </c>
      <c r="M60" s="91" t="str">
        <f t="shared" ref="M60:U60" si="43">IF(COUNTIF(M61:M62,"●")&gt;0,"●","")</f>
        <v>●</v>
      </c>
      <c r="N60" s="144" t="str">
        <f t="shared" si="43"/>
        <v/>
      </c>
      <c r="O60" s="144" t="str">
        <f t="shared" si="43"/>
        <v/>
      </c>
      <c r="P60" s="144" t="str">
        <f t="shared" ref="P60" si="44">IF(COUNTIF(P61:P62,"●")&gt;0,"●","")</f>
        <v/>
      </c>
      <c r="Q60" s="144" t="str">
        <f t="shared" si="43"/>
        <v/>
      </c>
      <c r="R60" s="144" t="str">
        <f t="shared" si="43"/>
        <v/>
      </c>
      <c r="S60" s="144" t="str">
        <f t="shared" si="43"/>
        <v/>
      </c>
      <c r="T60" s="144" t="str">
        <f t="shared" si="43"/>
        <v/>
      </c>
      <c r="U60" s="144" t="str">
        <f t="shared" si="43"/>
        <v/>
      </c>
      <c r="V60" s="96">
        <f>IF(MIN(V61:V62)=0,"",MIN(V61:V62))</f>
        <v>45117</v>
      </c>
      <c r="W60" s="97">
        <f ca="1">IF(AND(V60="",X60="")=TRUE,"",IF(AND(V60&gt;0,X60="")=TRUE,NETWORKDAYS(V60,TODAY(),Holidays),NETWORKDAYS(V60,X60,Holidays)))</f>
        <v>20</v>
      </c>
      <c r="X60" s="138">
        <f>IF(MAX(X61:X62)=0,"",MAX(X61:X62))</f>
        <v>45142</v>
      </c>
      <c r="Y60" s="96">
        <f>IF(MIN(Y61:Y62)=0,"",MIN(Y61:Y62))</f>
        <v>45117</v>
      </c>
      <c r="Z60" s="97">
        <f t="shared" ca="1" si="37"/>
        <v>11</v>
      </c>
      <c r="AA60" s="98">
        <f>IF(MAX(AA61:AA62)=0,"",MAX(AA61:AA62))</f>
        <v>45131</v>
      </c>
      <c r="AB60" s="99">
        <f>IFERROR(AVERAGE(AB61:AB62),"")</f>
        <v>1</v>
      </c>
      <c r="AC60" s="100" t="str">
        <f t="shared" si="2"/>
        <v>Completed</v>
      </c>
      <c r="AD60" s="154"/>
      <c r="AE60" s="80">
        <v>45149</v>
      </c>
      <c r="AF60" s="81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  <c r="BA60" s="81"/>
      <c r="BB60" s="81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81"/>
      <c r="CF60" s="81"/>
      <c r="CG60" s="81"/>
      <c r="CH60" s="81"/>
      <c r="CI60" s="81"/>
      <c r="CJ60" s="81"/>
      <c r="CK60" s="81"/>
      <c r="CL60" s="81"/>
      <c r="CM60" s="81"/>
      <c r="CN60" s="81"/>
      <c r="CO60" s="81"/>
      <c r="CP60" s="81"/>
      <c r="CQ60" s="81"/>
      <c r="CR60" s="81"/>
      <c r="CS60" s="81"/>
      <c r="CT60" s="81"/>
      <c r="CU60" s="81"/>
      <c r="CV60" s="81"/>
      <c r="CW60" s="81"/>
      <c r="CX60" s="81"/>
      <c r="CY60" s="81"/>
      <c r="CZ60" s="81"/>
      <c r="DA60" s="81"/>
      <c r="DB60" s="81"/>
      <c r="DC60" s="81"/>
      <c r="DD60" s="81"/>
      <c r="DE60" s="81"/>
      <c r="DF60" s="81"/>
      <c r="DG60" s="81"/>
      <c r="DH60" s="81"/>
      <c r="DI60" s="81"/>
      <c r="DJ60" s="81"/>
      <c r="DK60" s="81"/>
      <c r="DL60" s="81"/>
      <c r="DM60" s="81"/>
      <c r="DN60" s="81"/>
      <c r="DO60" s="81"/>
      <c r="DP60" s="81"/>
      <c r="DQ60" s="81"/>
      <c r="DR60" s="81"/>
      <c r="DS60" s="81"/>
      <c r="DT60" s="81"/>
      <c r="DU60" s="81"/>
      <c r="DV60" s="81"/>
      <c r="DW60" s="81"/>
      <c r="DX60" s="81"/>
      <c r="DY60" s="81"/>
      <c r="DZ60" s="81"/>
      <c r="EA60" s="81"/>
    </row>
    <row r="61" spans="2:131" ht="17.100000000000001" customHeight="1">
      <c r="B61" s="58">
        <v>4</v>
      </c>
      <c r="C61" s="58" t="s">
        <v>658</v>
      </c>
      <c r="D61" s="59"/>
      <c r="E61" s="60"/>
      <c r="F61" s="60"/>
      <c r="G61" s="60" t="s">
        <v>880</v>
      </c>
      <c r="H61" s="62"/>
      <c r="I61" s="145" t="s">
        <v>836</v>
      </c>
      <c r="J61" s="61"/>
      <c r="K61" s="61"/>
      <c r="L61" s="123"/>
      <c r="M61" s="145" t="s">
        <v>836</v>
      </c>
      <c r="N61" s="145"/>
      <c r="O61" s="61"/>
      <c r="P61" s="61"/>
      <c r="Q61" s="61"/>
      <c r="R61" s="61"/>
      <c r="S61" s="61"/>
      <c r="T61" s="61"/>
      <c r="U61" s="63"/>
      <c r="V61" s="64">
        <v>45117</v>
      </c>
      <c r="W61" s="61">
        <v>10</v>
      </c>
      <c r="X61" s="140">
        <f t="shared" ref="X61:X62" si="45">IF(AND(V61="",W61="")=TRUE,"",WORKDAY(V61,W61-1,Holidays))</f>
        <v>45128</v>
      </c>
      <c r="Y61" s="64">
        <v>45117</v>
      </c>
      <c r="Z61" s="126">
        <f t="shared" ca="1" si="37"/>
        <v>11</v>
      </c>
      <c r="AA61" s="65">
        <v>45131</v>
      </c>
      <c r="AB61" s="66">
        <v>1</v>
      </c>
      <c r="AC61" s="125" t="str">
        <f t="shared" si="2"/>
        <v>Completed</v>
      </c>
      <c r="AD61" s="152"/>
      <c r="AE61" s="80">
        <v>45152</v>
      </c>
      <c r="AF61" s="81"/>
      <c r="AG61" s="81"/>
      <c r="AH61" s="81"/>
      <c r="AI61" s="81"/>
      <c r="AJ61" s="81"/>
      <c r="AK61" s="81"/>
      <c r="AL61" s="81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  <c r="BA61" s="81"/>
      <c r="BB61" s="81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81"/>
      <c r="CF61" s="81"/>
      <c r="CG61" s="81"/>
      <c r="CH61" s="81"/>
      <c r="CI61" s="81"/>
      <c r="CJ61" s="81"/>
      <c r="CK61" s="81"/>
      <c r="CL61" s="81"/>
      <c r="CM61" s="81"/>
      <c r="CN61" s="81"/>
      <c r="CO61" s="81"/>
      <c r="CP61" s="81"/>
      <c r="CQ61" s="81"/>
      <c r="CR61" s="81"/>
      <c r="CS61" s="81"/>
      <c r="CT61" s="81"/>
      <c r="CU61" s="81"/>
      <c r="CV61" s="81"/>
      <c r="CW61" s="81"/>
      <c r="CX61" s="81"/>
      <c r="CY61" s="81"/>
      <c r="CZ61" s="81"/>
      <c r="DA61" s="81"/>
      <c r="DB61" s="81"/>
      <c r="DC61" s="81"/>
      <c r="DD61" s="81"/>
      <c r="DE61" s="81"/>
      <c r="DF61" s="81"/>
      <c r="DG61" s="81"/>
      <c r="DH61" s="81"/>
      <c r="DI61" s="81"/>
      <c r="DJ61" s="81"/>
      <c r="DK61" s="81"/>
      <c r="DL61" s="81"/>
      <c r="DM61" s="81"/>
      <c r="DN61" s="81"/>
      <c r="DO61" s="81"/>
      <c r="DP61" s="81"/>
      <c r="DQ61" s="81"/>
      <c r="DR61" s="81"/>
      <c r="DS61" s="81"/>
      <c r="DT61" s="81"/>
      <c r="DU61" s="81"/>
      <c r="DV61" s="81"/>
      <c r="DW61" s="81"/>
      <c r="DX61" s="81"/>
      <c r="DY61" s="81"/>
      <c r="DZ61" s="81"/>
      <c r="EA61" s="81"/>
    </row>
    <row r="62" spans="2:131" ht="17.100000000000001" customHeight="1">
      <c r="B62" s="58">
        <v>4</v>
      </c>
      <c r="C62" s="58" t="s">
        <v>658</v>
      </c>
      <c r="D62" s="59"/>
      <c r="E62" s="60"/>
      <c r="F62" s="60"/>
      <c r="G62" s="60" t="s">
        <v>881</v>
      </c>
      <c r="H62" s="62"/>
      <c r="I62" s="145" t="s">
        <v>836</v>
      </c>
      <c r="J62" s="61"/>
      <c r="K62" s="61"/>
      <c r="L62" s="123"/>
      <c r="M62" s="145" t="s">
        <v>836</v>
      </c>
      <c r="N62" s="145"/>
      <c r="O62" s="61"/>
      <c r="P62" s="61"/>
      <c r="Q62" s="61"/>
      <c r="R62" s="61"/>
      <c r="S62" s="61"/>
      <c r="T62" s="61"/>
      <c r="U62" s="63"/>
      <c r="V62" s="64">
        <v>45131</v>
      </c>
      <c r="W62" s="61">
        <v>10</v>
      </c>
      <c r="X62" s="140">
        <f t="shared" si="45"/>
        <v>45142</v>
      </c>
      <c r="Y62" s="64">
        <v>45117</v>
      </c>
      <c r="Z62" s="126">
        <f t="shared" ca="1" si="37"/>
        <v>11</v>
      </c>
      <c r="AA62" s="65">
        <v>45131</v>
      </c>
      <c r="AB62" s="66">
        <v>1</v>
      </c>
      <c r="AC62" s="125" t="str">
        <f t="shared" si="2"/>
        <v>Completed</v>
      </c>
      <c r="AD62" s="152"/>
      <c r="AE62" s="80">
        <v>45154</v>
      </c>
      <c r="AF62" s="81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  <c r="BA62" s="81"/>
      <c r="BB62" s="81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81"/>
      <c r="CF62" s="81"/>
      <c r="CG62" s="81"/>
      <c r="CH62" s="81"/>
      <c r="CI62" s="81"/>
      <c r="CJ62" s="81"/>
      <c r="CK62" s="81"/>
      <c r="CL62" s="81"/>
      <c r="CM62" s="81"/>
      <c r="CN62" s="81"/>
      <c r="CO62" s="81"/>
      <c r="CP62" s="81"/>
      <c r="CQ62" s="81"/>
      <c r="CR62" s="81"/>
      <c r="CS62" s="81"/>
      <c r="CT62" s="81"/>
      <c r="CU62" s="81"/>
      <c r="CV62" s="81"/>
      <c r="CW62" s="81"/>
      <c r="CX62" s="81"/>
      <c r="CY62" s="81"/>
      <c r="CZ62" s="81"/>
      <c r="DA62" s="81"/>
      <c r="DB62" s="81"/>
      <c r="DC62" s="81"/>
      <c r="DD62" s="81"/>
      <c r="DE62" s="81"/>
      <c r="DF62" s="81"/>
      <c r="DG62" s="81"/>
      <c r="DH62" s="81"/>
      <c r="DI62" s="81"/>
      <c r="DJ62" s="81"/>
      <c r="DK62" s="81"/>
      <c r="DL62" s="81"/>
      <c r="DM62" s="81"/>
      <c r="DN62" s="81"/>
      <c r="DO62" s="81"/>
      <c r="DP62" s="81"/>
      <c r="DQ62" s="81"/>
      <c r="DR62" s="81"/>
      <c r="DS62" s="81"/>
      <c r="DT62" s="81"/>
      <c r="DU62" s="81"/>
      <c r="DV62" s="81"/>
      <c r="DW62" s="81"/>
      <c r="DX62" s="81"/>
      <c r="DY62" s="81"/>
      <c r="DZ62" s="81"/>
      <c r="EA62" s="81"/>
    </row>
    <row r="63" spans="2:131" ht="17.100000000000001" customHeight="1">
      <c r="B63" s="92">
        <v>3</v>
      </c>
      <c r="C63" s="92" t="s">
        <v>655</v>
      </c>
      <c r="D63" s="93"/>
      <c r="E63" s="94"/>
      <c r="F63" s="94" t="s">
        <v>882</v>
      </c>
      <c r="G63" s="94"/>
      <c r="H63" s="95"/>
      <c r="I63" s="118" t="str">
        <f t="shared" ref="I63:U63" si="46">IF(COUNTIF(I64:I68,"●")&gt;0,"●","")</f>
        <v/>
      </c>
      <c r="J63" s="91" t="str">
        <f t="shared" si="46"/>
        <v>●</v>
      </c>
      <c r="K63" s="91" t="str">
        <f t="shared" si="46"/>
        <v/>
      </c>
      <c r="L63" s="118" t="str">
        <f t="shared" si="46"/>
        <v/>
      </c>
      <c r="M63" s="91" t="str">
        <f t="shared" si="46"/>
        <v>●</v>
      </c>
      <c r="N63" s="144" t="str">
        <f t="shared" si="46"/>
        <v/>
      </c>
      <c r="O63" s="144" t="str">
        <f t="shared" si="46"/>
        <v/>
      </c>
      <c r="P63" s="144" t="str">
        <f t="shared" ref="P63" si="47">IF(COUNTIF(P64:P68,"●")&gt;0,"●","")</f>
        <v/>
      </c>
      <c r="Q63" s="144" t="str">
        <f t="shared" si="46"/>
        <v/>
      </c>
      <c r="R63" s="144" t="str">
        <f t="shared" si="46"/>
        <v/>
      </c>
      <c r="S63" s="144" t="str">
        <f t="shared" si="46"/>
        <v/>
      </c>
      <c r="T63" s="144" t="str">
        <f t="shared" si="46"/>
        <v/>
      </c>
      <c r="U63" s="144" t="str">
        <f t="shared" si="46"/>
        <v/>
      </c>
      <c r="V63" s="96">
        <f>IF(MIN(V64:V68)=0,"",MIN(V64:V68))</f>
        <v>45127</v>
      </c>
      <c r="W63" s="97">
        <f ca="1">IF(AND(V63="",X63="")=TRUE,"",IF(AND(V63&gt;0,X63="")=TRUE,NETWORKDAYS(V63,TODAY(),Holidays),NETWORKDAYS(V63,X63,Holidays)))</f>
        <v>12</v>
      </c>
      <c r="X63" s="138">
        <f>IF(MAX(X64:X68)=0,"",MAX(X64:X68))</f>
        <v>45142</v>
      </c>
      <c r="Y63" s="96">
        <f>IF(MIN(Y64:Y68)=0,"",MIN(Y64:Y68))</f>
        <v>45117</v>
      </c>
      <c r="Z63" s="97">
        <f t="shared" ca="1" si="37"/>
        <v>20</v>
      </c>
      <c r="AA63" s="98">
        <f>IF(MAX(AA64:AA68)=0,"",MAX(AA64:AA68))</f>
        <v>45142</v>
      </c>
      <c r="AB63" s="99">
        <f>IFERROR(AVERAGE(AB64:AB68),"")</f>
        <v>1</v>
      </c>
      <c r="AC63" s="100" t="str">
        <f t="shared" si="2"/>
        <v>Completed</v>
      </c>
      <c r="AD63" s="154"/>
      <c r="AE63" s="80">
        <v>45155</v>
      </c>
      <c r="AF63" s="81"/>
      <c r="AG63" s="81"/>
      <c r="AH63" s="81"/>
      <c r="AI63" s="81"/>
      <c r="AJ63" s="81"/>
      <c r="AK63" s="81"/>
      <c r="AL63" s="81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  <c r="BA63" s="81"/>
      <c r="BB63" s="81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81"/>
      <c r="CF63" s="81"/>
      <c r="CG63" s="81"/>
      <c r="CH63" s="81"/>
      <c r="CI63" s="81"/>
      <c r="CJ63" s="81"/>
      <c r="CK63" s="81"/>
      <c r="CL63" s="81"/>
      <c r="CM63" s="81"/>
      <c r="CN63" s="81"/>
      <c r="CO63" s="81"/>
      <c r="CP63" s="81"/>
      <c r="CQ63" s="81"/>
      <c r="CR63" s="81"/>
      <c r="CS63" s="81"/>
      <c r="CT63" s="81"/>
      <c r="CU63" s="81"/>
      <c r="CV63" s="81"/>
      <c r="CW63" s="81"/>
      <c r="CX63" s="81"/>
      <c r="CY63" s="81"/>
      <c r="CZ63" s="81"/>
      <c r="DA63" s="81"/>
      <c r="DB63" s="81"/>
      <c r="DC63" s="81"/>
      <c r="DD63" s="81"/>
      <c r="DE63" s="81"/>
      <c r="DF63" s="81"/>
      <c r="DG63" s="81"/>
      <c r="DH63" s="81"/>
      <c r="DI63" s="81"/>
      <c r="DJ63" s="81"/>
      <c r="DK63" s="81"/>
      <c r="DL63" s="81"/>
      <c r="DM63" s="81"/>
      <c r="DN63" s="81"/>
      <c r="DO63" s="81"/>
      <c r="DP63" s="81"/>
      <c r="DQ63" s="81"/>
      <c r="DR63" s="81"/>
      <c r="DS63" s="81"/>
      <c r="DT63" s="81"/>
      <c r="DU63" s="81"/>
      <c r="DV63" s="81"/>
      <c r="DW63" s="81"/>
      <c r="DX63" s="81"/>
      <c r="DY63" s="81"/>
      <c r="DZ63" s="81"/>
      <c r="EA63" s="81"/>
    </row>
    <row r="64" spans="2:131" ht="17.100000000000001" customHeight="1">
      <c r="B64" s="58">
        <v>4</v>
      </c>
      <c r="C64" s="58" t="s">
        <v>658</v>
      </c>
      <c r="D64" s="59"/>
      <c r="E64" s="60"/>
      <c r="F64" s="60"/>
      <c r="G64" s="60" t="s">
        <v>883</v>
      </c>
      <c r="H64" s="62"/>
      <c r="I64" s="123"/>
      <c r="J64" s="145" t="s">
        <v>836</v>
      </c>
      <c r="K64" s="61"/>
      <c r="L64" s="123"/>
      <c r="M64" s="145" t="s">
        <v>836</v>
      </c>
      <c r="N64" s="145"/>
      <c r="O64" s="61"/>
      <c r="P64" s="61"/>
      <c r="Q64" s="61"/>
      <c r="R64" s="61"/>
      <c r="S64" s="61"/>
      <c r="T64" s="61"/>
      <c r="U64" s="63"/>
      <c r="V64" s="64">
        <v>45127</v>
      </c>
      <c r="W64" s="61">
        <v>3</v>
      </c>
      <c r="X64" s="140">
        <f t="shared" ref="X64:X68" si="48">IF(AND(V64="",W64="")=TRUE,"",WORKDAY(V64,W64-1,Holidays))</f>
        <v>45131</v>
      </c>
      <c r="Y64" s="64">
        <v>45117</v>
      </c>
      <c r="Z64" s="126">
        <f t="shared" ca="1" si="37"/>
        <v>10</v>
      </c>
      <c r="AA64" s="65">
        <v>45128</v>
      </c>
      <c r="AB64" s="66">
        <v>1</v>
      </c>
      <c r="AC64" s="125" t="str">
        <f t="shared" si="2"/>
        <v>Completed</v>
      </c>
      <c r="AD64" s="152"/>
      <c r="AE64" s="80">
        <v>45156</v>
      </c>
      <c r="AF64" s="81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  <c r="BA64" s="81"/>
      <c r="BB64" s="81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81"/>
      <c r="CF64" s="81"/>
      <c r="CG64" s="81"/>
      <c r="CH64" s="81"/>
      <c r="CI64" s="81"/>
      <c r="CJ64" s="81"/>
      <c r="CK64" s="81"/>
      <c r="CL64" s="81"/>
      <c r="CM64" s="81"/>
      <c r="CN64" s="81"/>
      <c r="CO64" s="81"/>
      <c r="CP64" s="81"/>
      <c r="CQ64" s="81"/>
      <c r="CR64" s="81"/>
      <c r="CS64" s="81"/>
      <c r="CT64" s="81"/>
      <c r="CU64" s="81"/>
      <c r="CV64" s="81"/>
      <c r="CW64" s="81"/>
      <c r="CX64" s="81"/>
      <c r="CY64" s="81"/>
      <c r="CZ64" s="81"/>
      <c r="DA64" s="81"/>
      <c r="DB64" s="81"/>
      <c r="DC64" s="81"/>
      <c r="DD64" s="81"/>
      <c r="DE64" s="81"/>
      <c r="DF64" s="81"/>
      <c r="DG64" s="81"/>
      <c r="DH64" s="81"/>
      <c r="DI64" s="81"/>
      <c r="DJ64" s="81"/>
      <c r="DK64" s="81"/>
      <c r="DL64" s="81"/>
      <c r="DM64" s="81"/>
      <c r="DN64" s="81"/>
      <c r="DO64" s="81"/>
      <c r="DP64" s="81"/>
      <c r="DQ64" s="81"/>
      <c r="DR64" s="81"/>
      <c r="DS64" s="81"/>
      <c r="DT64" s="81"/>
      <c r="DU64" s="81"/>
      <c r="DV64" s="81"/>
      <c r="DW64" s="81"/>
      <c r="DX64" s="81"/>
      <c r="DY64" s="81"/>
      <c r="DZ64" s="81"/>
      <c r="EA64" s="81"/>
    </row>
    <row r="65" spans="2:131" ht="17.100000000000001" customHeight="1">
      <c r="B65" s="58">
        <v>4</v>
      </c>
      <c r="C65" s="58" t="s">
        <v>658</v>
      </c>
      <c r="D65" s="59"/>
      <c r="E65" s="60"/>
      <c r="F65" s="60"/>
      <c r="G65" s="60" t="s">
        <v>884</v>
      </c>
      <c r="H65" s="62"/>
      <c r="I65" s="123"/>
      <c r="J65" s="145" t="s">
        <v>836</v>
      </c>
      <c r="K65" s="61"/>
      <c r="L65" s="123"/>
      <c r="M65" s="145" t="s">
        <v>836</v>
      </c>
      <c r="N65" s="145"/>
      <c r="O65" s="61"/>
      <c r="P65" s="61"/>
      <c r="Q65" s="61"/>
      <c r="R65" s="61"/>
      <c r="S65" s="61"/>
      <c r="T65" s="61"/>
      <c r="U65" s="63"/>
      <c r="V65" s="64">
        <v>45132</v>
      </c>
      <c r="W65" s="61">
        <v>3</v>
      </c>
      <c r="X65" s="140">
        <f t="shared" si="48"/>
        <v>45134</v>
      </c>
      <c r="Y65" s="64">
        <v>45117</v>
      </c>
      <c r="Z65" s="126">
        <f t="shared" ca="1" si="37"/>
        <v>20</v>
      </c>
      <c r="AA65" s="65">
        <v>45142</v>
      </c>
      <c r="AB65" s="66">
        <v>1</v>
      </c>
      <c r="AC65" s="125" t="str">
        <f t="shared" si="2"/>
        <v>Completed</v>
      </c>
      <c r="AD65" s="152" t="s">
        <v>945</v>
      </c>
      <c r="AE65" s="80">
        <v>45159</v>
      </c>
      <c r="AF65" s="81"/>
      <c r="AG65" s="81"/>
      <c r="AH65" s="81"/>
      <c r="AI65" s="81"/>
      <c r="AJ65" s="81"/>
      <c r="AK65" s="81"/>
      <c r="AL65" s="81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  <c r="BA65" s="81"/>
      <c r="BB65" s="81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81"/>
      <c r="CF65" s="81"/>
      <c r="CG65" s="81"/>
      <c r="CH65" s="81"/>
      <c r="CI65" s="81"/>
      <c r="CJ65" s="81"/>
      <c r="CK65" s="81"/>
      <c r="CL65" s="81"/>
      <c r="CM65" s="81"/>
      <c r="CN65" s="81"/>
      <c r="CO65" s="81"/>
      <c r="CP65" s="81"/>
      <c r="CQ65" s="81"/>
      <c r="CR65" s="81"/>
      <c r="CS65" s="81"/>
      <c r="CT65" s="81"/>
      <c r="CU65" s="81"/>
      <c r="CV65" s="81"/>
      <c r="CW65" s="81"/>
      <c r="CX65" s="81"/>
      <c r="CY65" s="81"/>
      <c r="CZ65" s="81"/>
      <c r="DA65" s="81"/>
      <c r="DB65" s="81"/>
      <c r="DC65" s="81"/>
      <c r="DD65" s="81"/>
      <c r="DE65" s="81"/>
      <c r="DF65" s="81"/>
      <c r="DG65" s="81"/>
      <c r="DH65" s="81"/>
      <c r="DI65" s="81"/>
      <c r="DJ65" s="81"/>
      <c r="DK65" s="81"/>
      <c r="DL65" s="81"/>
      <c r="DM65" s="81"/>
      <c r="DN65" s="81"/>
      <c r="DO65" s="81"/>
      <c r="DP65" s="81"/>
      <c r="DQ65" s="81"/>
      <c r="DR65" s="81"/>
      <c r="DS65" s="81"/>
      <c r="DT65" s="81"/>
      <c r="DU65" s="81"/>
      <c r="DV65" s="81"/>
      <c r="DW65" s="81"/>
      <c r="DX65" s="81"/>
      <c r="DY65" s="81"/>
      <c r="DZ65" s="81"/>
      <c r="EA65" s="81"/>
    </row>
    <row r="66" spans="2:131" ht="17.100000000000001" customHeight="1">
      <c r="B66" s="58">
        <v>4</v>
      </c>
      <c r="C66" s="58" t="s">
        <v>658</v>
      </c>
      <c r="D66" s="59"/>
      <c r="E66" s="60"/>
      <c r="F66" s="60"/>
      <c r="G66" s="60" t="s">
        <v>885</v>
      </c>
      <c r="H66" s="62"/>
      <c r="I66" s="123"/>
      <c r="J66" s="145" t="s">
        <v>836</v>
      </c>
      <c r="K66" s="61"/>
      <c r="L66" s="123"/>
      <c r="M66" s="145" t="s">
        <v>836</v>
      </c>
      <c r="N66" s="145"/>
      <c r="O66" s="61"/>
      <c r="P66" s="61"/>
      <c r="Q66" s="61"/>
      <c r="R66" s="61"/>
      <c r="S66" s="61"/>
      <c r="T66" s="61"/>
      <c r="U66" s="63"/>
      <c r="V66" s="64">
        <v>45135</v>
      </c>
      <c r="W66" s="61">
        <v>3</v>
      </c>
      <c r="X66" s="140">
        <f t="shared" si="48"/>
        <v>45139</v>
      </c>
      <c r="Y66" s="64">
        <v>45117</v>
      </c>
      <c r="Z66" s="126">
        <f t="shared" ca="1" si="37"/>
        <v>20</v>
      </c>
      <c r="AA66" s="65">
        <v>45142</v>
      </c>
      <c r="AB66" s="66">
        <v>1</v>
      </c>
      <c r="AC66" s="125" t="str">
        <f t="shared" si="2"/>
        <v>Completed</v>
      </c>
      <c r="AD66" s="152" t="s">
        <v>945</v>
      </c>
      <c r="AE66" s="80">
        <v>45160</v>
      </c>
      <c r="AF66" s="81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  <c r="BA66" s="81"/>
      <c r="BB66" s="81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81"/>
      <c r="CF66" s="81"/>
      <c r="CG66" s="81"/>
      <c r="CH66" s="81"/>
      <c r="CI66" s="81"/>
      <c r="CJ66" s="81"/>
      <c r="CK66" s="81"/>
      <c r="CL66" s="81"/>
      <c r="CM66" s="81"/>
      <c r="CN66" s="81"/>
      <c r="CO66" s="81"/>
      <c r="CP66" s="81"/>
      <c r="CQ66" s="81"/>
      <c r="CR66" s="81"/>
      <c r="CS66" s="81"/>
      <c r="CT66" s="81"/>
      <c r="CU66" s="81"/>
      <c r="CV66" s="81"/>
      <c r="CW66" s="81"/>
      <c r="CX66" s="81"/>
      <c r="CY66" s="81"/>
      <c r="CZ66" s="81"/>
      <c r="DA66" s="81"/>
      <c r="DB66" s="81"/>
      <c r="DC66" s="81"/>
      <c r="DD66" s="81"/>
      <c r="DE66" s="81"/>
      <c r="DF66" s="81"/>
      <c r="DG66" s="81"/>
      <c r="DH66" s="81"/>
      <c r="DI66" s="81"/>
      <c r="DJ66" s="81"/>
      <c r="DK66" s="81"/>
      <c r="DL66" s="81"/>
      <c r="DM66" s="81"/>
      <c r="DN66" s="81"/>
      <c r="DO66" s="81"/>
      <c r="DP66" s="81"/>
      <c r="DQ66" s="81"/>
      <c r="DR66" s="81"/>
      <c r="DS66" s="81"/>
      <c r="DT66" s="81"/>
      <c r="DU66" s="81"/>
      <c r="DV66" s="81"/>
      <c r="DW66" s="81"/>
      <c r="DX66" s="81"/>
      <c r="DY66" s="81"/>
      <c r="DZ66" s="81"/>
      <c r="EA66" s="81"/>
    </row>
    <row r="67" spans="2:131" ht="17.100000000000001" customHeight="1">
      <c r="B67" s="58">
        <v>4</v>
      </c>
      <c r="C67" s="58" t="s">
        <v>658</v>
      </c>
      <c r="D67" s="59"/>
      <c r="E67" s="60"/>
      <c r="F67" s="60"/>
      <c r="G67" s="60" t="s">
        <v>886</v>
      </c>
      <c r="H67" s="62"/>
      <c r="I67" s="123"/>
      <c r="J67" s="145" t="s">
        <v>836</v>
      </c>
      <c r="K67" s="61"/>
      <c r="L67" s="123"/>
      <c r="M67" s="145" t="s">
        <v>836</v>
      </c>
      <c r="N67" s="145"/>
      <c r="O67" s="61"/>
      <c r="P67" s="61"/>
      <c r="Q67" s="61"/>
      <c r="R67" s="61"/>
      <c r="S67" s="61"/>
      <c r="T67" s="61"/>
      <c r="U67" s="63"/>
      <c r="V67" s="64">
        <v>45140</v>
      </c>
      <c r="W67" s="61">
        <v>2</v>
      </c>
      <c r="X67" s="140">
        <f t="shared" si="48"/>
        <v>45141</v>
      </c>
      <c r="Y67" s="64">
        <v>45117</v>
      </c>
      <c r="Z67" s="126">
        <f t="shared" ca="1" si="37"/>
        <v>10</v>
      </c>
      <c r="AA67" s="65">
        <v>45128</v>
      </c>
      <c r="AB67" s="66">
        <v>1</v>
      </c>
      <c r="AC67" s="125" t="str">
        <f t="shared" si="2"/>
        <v>Completed</v>
      </c>
      <c r="AD67" s="152"/>
      <c r="AE67" s="80">
        <v>45161</v>
      </c>
      <c r="AF67" s="81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1"/>
      <c r="CI67" s="81"/>
      <c r="CJ67" s="81"/>
      <c r="CK67" s="81"/>
      <c r="CL67" s="81"/>
      <c r="CM67" s="81"/>
      <c r="CN67" s="81"/>
      <c r="CO67" s="81"/>
      <c r="CP67" s="81"/>
      <c r="CQ67" s="81"/>
      <c r="CR67" s="81"/>
      <c r="CS67" s="81"/>
      <c r="CT67" s="81"/>
      <c r="CU67" s="81"/>
      <c r="CV67" s="81"/>
      <c r="CW67" s="81"/>
      <c r="CX67" s="81"/>
      <c r="CY67" s="81"/>
      <c r="CZ67" s="81"/>
      <c r="DA67" s="81"/>
      <c r="DB67" s="81"/>
      <c r="DC67" s="81"/>
      <c r="DD67" s="81"/>
      <c r="DE67" s="81"/>
      <c r="DF67" s="81"/>
      <c r="DG67" s="81"/>
      <c r="DH67" s="81"/>
      <c r="DI67" s="81"/>
      <c r="DJ67" s="81"/>
      <c r="DK67" s="81"/>
      <c r="DL67" s="81"/>
      <c r="DM67" s="81"/>
      <c r="DN67" s="81"/>
      <c r="DO67" s="81"/>
      <c r="DP67" s="81"/>
      <c r="DQ67" s="81"/>
      <c r="DR67" s="81"/>
      <c r="DS67" s="81"/>
      <c r="DT67" s="81"/>
      <c r="DU67" s="81"/>
      <c r="DV67" s="81"/>
      <c r="DW67" s="81"/>
      <c r="DX67" s="81"/>
      <c r="DY67" s="81"/>
      <c r="DZ67" s="81"/>
      <c r="EA67" s="81"/>
    </row>
    <row r="68" spans="2:131" ht="17.100000000000001" customHeight="1">
      <c r="B68" s="58">
        <v>4</v>
      </c>
      <c r="C68" s="58" t="s">
        <v>658</v>
      </c>
      <c r="D68" s="59"/>
      <c r="E68" s="60"/>
      <c r="F68" s="60"/>
      <c r="G68" s="60" t="s">
        <v>887</v>
      </c>
      <c r="H68" s="62"/>
      <c r="I68" s="123"/>
      <c r="J68" s="145" t="s">
        <v>836</v>
      </c>
      <c r="K68" s="61"/>
      <c r="L68" s="123"/>
      <c r="M68" s="145" t="s">
        <v>836</v>
      </c>
      <c r="N68" s="145"/>
      <c r="O68" s="61"/>
      <c r="P68" s="61"/>
      <c r="Q68" s="61"/>
      <c r="R68" s="61"/>
      <c r="S68" s="61"/>
      <c r="T68" s="61"/>
      <c r="U68" s="63"/>
      <c r="V68" s="64">
        <v>45142</v>
      </c>
      <c r="W68" s="61">
        <v>1</v>
      </c>
      <c r="X68" s="140">
        <f t="shared" si="48"/>
        <v>45142</v>
      </c>
      <c r="Y68" s="64">
        <v>45138</v>
      </c>
      <c r="Z68" s="126">
        <f t="shared" ca="1" si="37"/>
        <v>3</v>
      </c>
      <c r="AA68" s="65">
        <v>45140</v>
      </c>
      <c r="AB68" s="66">
        <v>1</v>
      </c>
      <c r="AC68" s="125" t="str">
        <f t="shared" si="2"/>
        <v>Completed</v>
      </c>
      <c r="AD68" s="152" t="s">
        <v>946</v>
      </c>
      <c r="AE68" s="80">
        <v>45162</v>
      </c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81"/>
      <c r="CF68" s="81"/>
      <c r="CG68" s="81"/>
      <c r="CH68" s="81"/>
      <c r="CI68" s="81"/>
      <c r="CJ68" s="81"/>
      <c r="CK68" s="81"/>
      <c r="CL68" s="81"/>
      <c r="CM68" s="81"/>
      <c r="CN68" s="81"/>
      <c r="CO68" s="81"/>
      <c r="CP68" s="81"/>
      <c r="CQ68" s="81"/>
      <c r="CR68" s="81"/>
      <c r="CS68" s="81"/>
      <c r="CT68" s="81"/>
      <c r="CU68" s="81"/>
      <c r="CV68" s="81"/>
      <c r="CW68" s="81"/>
      <c r="CX68" s="81"/>
      <c r="CY68" s="81"/>
      <c r="CZ68" s="81"/>
      <c r="DA68" s="81"/>
      <c r="DB68" s="81"/>
      <c r="DC68" s="81"/>
      <c r="DD68" s="81"/>
      <c r="DE68" s="81"/>
      <c r="DF68" s="81"/>
      <c r="DG68" s="81"/>
      <c r="DH68" s="81"/>
      <c r="DI68" s="81"/>
      <c r="DJ68" s="81"/>
      <c r="DK68" s="81"/>
      <c r="DL68" s="81"/>
      <c r="DM68" s="81"/>
      <c r="DN68" s="81"/>
      <c r="DO68" s="81"/>
      <c r="DP68" s="81"/>
      <c r="DQ68" s="81"/>
      <c r="DR68" s="81"/>
      <c r="DS68" s="81"/>
      <c r="DT68" s="81"/>
      <c r="DU68" s="81"/>
      <c r="DV68" s="81"/>
      <c r="DW68" s="81"/>
      <c r="DX68" s="81"/>
      <c r="DY68" s="81"/>
      <c r="DZ68" s="81"/>
      <c r="EA68" s="81"/>
    </row>
    <row r="69" spans="2:131" ht="17.100000000000001" customHeight="1">
      <c r="B69" s="92">
        <v>3</v>
      </c>
      <c r="C69" s="92" t="s">
        <v>655</v>
      </c>
      <c r="D69" s="93"/>
      <c r="E69" s="94"/>
      <c r="F69" s="94" t="s">
        <v>889</v>
      </c>
      <c r="G69" s="94"/>
      <c r="H69" s="95"/>
      <c r="I69" s="118" t="str">
        <f>IF(COUNTIF(I70:I72,"●")&gt;0,"●","")</f>
        <v/>
      </c>
      <c r="J69" s="91" t="str">
        <f t="shared" ref="J69:K69" si="49">IF(COUNTIF(J70:J72,"●")&gt;0,"●","")</f>
        <v/>
      </c>
      <c r="K69" s="91" t="str">
        <f t="shared" si="49"/>
        <v/>
      </c>
      <c r="L69" s="118" t="str">
        <f>IF(COUNTIF(L70:L72,"●")&gt;0,"●","")</f>
        <v/>
      </c>
      <c r="M69" s="91" t="str">
        <f t="shared" ref="M69:U69" si="50">IF(COUNTIF(M70:M72,"●")&gt;0,"●","")</f>
        <v>●</v>
      </c>
      <c r="N69" s="144" t="str">
        <f t="shared" si="50"/>
        <v/>
      </c>
      <c r="O69" s="144" t="str">
        <f t="shared" si="50"/>
        <v/>
      </c>
      <c r="P69" s="144" t="str">
        <f t="shared" ref="P69" si="51">IF(COUNTIF(P70:P72,"●")&gt;0,"●","")</f>
        <v/>
      </c>
      <c r="Q69" s="144" t="str">
        <f t="shared" si="50"/>
        <v/>
      </c>
      <c r="R69" s="144" t="str">
        <f t="shared" si="50"/>
        <v/>
      </c>
      <c r="S69" s="144" t="str">
        <f t="shared" si="50"/>
        <v/>
      </c>
      <c r="T69" s="144" t="str">
        <f t="shared" si="50"/>
        <v/>
      </c>
      <c r="U69" s="144" t="str">
        <f t="shared" si="50"/>
        <v/>
      </c>
      <c r="V69" s="96">
        <f>IF(MIN(V70:V72)=0,"",MIN(V70:V72))</f>
        <v>45120</v>
      </c>
      <c r="W69" s="97">
        <f ca="1">IF(AND(V69="",X69="")=TRUE,"",IF(AND(V69&gt;0,X69="")=TRUE,NETWORKDAYS(V69,TODAY(),Holidays),NETWORKDAYS(V69,X69,Holidays)))</f>
        <v>17</v>
      </c>
      <c r="X69" s="138">
        <f>IF(MAX(X70:X72)=0,"",MAX(X70:X72))</f>
        <v>45142</v>
      </c>
      <c r="Y69" s="96">
        <f>IF(MIN(Y70:Y72)=0,"",MIN(Y70:Y72))</f>
        <v>45120</v>
      </c>
      <c r="Z69" s="97">
        <f t="shared" ca="1" si="37"/>
        <v>24</v>
      </c>
      <c r="AA69" s="98">
        <f>IF(MAX(AA70:AA72)=0,"",MAX(AA70:AA72))</f>
        <v>45154</v>
      </c>
      <c r="AB69" s="99">
        <f>IFERROR(AVERAGE(AB70:AB72),"")</f>
        <v>1</v>
      </c>
      <c r="AC69" s="100" t="str">
        <f t="shared" si="2"/>
        <v>Completed</v>
      </c>
      <c r="AD69" s="154"/>
      <c r="AE69" s="80">
        <v>45163</v>
      </c>
      <c r="AF69" s="81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  <c r="BA69" s="81"/>
      <c r="BB69" s="81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81"/>
      <c r="CF69" s="81"/>
      <c r="CG69" s="81"/>
      <c r="CH69" s="81"/>
      <c r="CI69" s="81"/>
      <c r="CJ69" s="81"/>
      <c r="CK69" s="81"/>
      <c r="CL69" s="81"/>
      <c r="CM69" s="81"/>
      <c r="CN69" s="81"/>
      <c r="CO69" s="81"/>
      <c r="CP69" s="81"/>
      <c r="CQ69" s="81"/>
      <c r="CR69" s="81"/>
      <c r="CS69" s="81"/>
      <c r="CT69" s="81"/>
      <c r="CU69" s="81"/>
      <c r="CV69" s="81"/>
      <c r="CW69" s="81"/>
      <c r="CX69" s="81"/>
      <c r="CY69" s="81"/>
      <c r="CZ69" s="81"/>
      <c r="DA69" s="81"/>
      <c r="DB69" s="81"/>
      <c r="DC69" s="81"/>
      <c r="DD69" s="81"/>
      <c r="DE69" s="81"/>
      <c r="DF69" s="81"/>
      <c r="DG69" s="81"/>
      <c r="DH69" s="81"/>
      <c r="DI69" s="81"/>
      <c r="DJ69" s="81"/>
      <c r="DK69" s="81"/>
      <c r="DL69" s="81"/>
      <c r="DM69" s="81"/>
      <c r="DN69" s="81"/>
      <c r="DO69" s="81"/>
      <c r="DP69" s="81"/>
      <c r="DQ69" s="81"/>
      <c r="DR69" s="81"/>
      <c r="DS69" s="81"/>
      <c r="DT69" s="81"/>
      <c r="DU69" s="81"/>
      <c r="DV69" s="81"/>
      <c r="DW69" s="81"/>
      <c r="DX69" s="81"/>
      <c r="DY69" s="81"/>
      <c r="DZ69" s="81"/>
      <c r="EA69" s="81"/>
    </row>
    <row r="70" spans="2:131" ht="17.100000000000001" customHeight="1">
      <c r="B70" s="58">
        <v>4</v>
      </c>
      <c r="C70" s="58" t="s">
        <v>658</v>
      </c>
      <c r="D70" s="59"/>
      <c r="E70" s="60"/>
      <c r="F70" s="60"/>
      <c r="G70" s="60" t="s">
        <v>890</v>
      </c>
      <c r="H70" s="62"/>
      <c r="I70" s="123"/>
      <c r="J70" s="61"/>
      <c r="K70" s="61"/>
      <c r="L70" s="123"/>
      <c r="M70" s="145" t="s">
        <v>836</v>
      </c>
      <c r="N70" s="145"/>
      <c r="O70" s="61"/>
      <c r="P70" s="61"/>
      <c r="Q70" s="61"/>
      <c r="R70" s="61"/>
      <c r="S70" s="61"/>
      <c r="T70" s="61"/>
      <c r="U70" s="63"/>
      <c r="V70" s="64">
        <v>45120</v>
      </c>
      <c r="W70" s="61">
        <v>3</v>
      </c>
      <c r="X70" s="140">
        <f t="shared" ref="X70:X71" si="52">IF(AND(V70="",W70="")=TRUE,"",WORKDAY(V70,W70-1,Holidays))</f>
        <v>45124</v>
      </c>
      <c r="Y70" s="64">
        <v>45120</v>
      </c>
      <c r="Z70" s="126">
        <f t="shared" ca="1" si="37"/>
        <v>3</v>
      </c>
      <c r="AA70" s="65">
        <v>45124</v>
      </c>
      <c r="AB70" s="66">
        <v>1</v>
      </c>
      <c r="AC70" s="125" t="str">
        <f t="shared" si="2"/>
        <v>Completed</v>
      </c>
      <c r="AD70" s="152"/>
      <c r="AE70" s="80">
        <v>45166</v>
      </c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  <c r="BA70" s="81"/>
      <c r="BB70" s="81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81"/>
      <c r="CF70" s="81"/>
      <c r="CG70" s="81"/>
      <c r="CH70" s="81"/>
      <c r="CI70" s="81"/>
      <c r="CJ70" s="81"/>
      <c r="CK70" s="81"/>
      <c r="CL70" s="81"/>
      <c r="CM70" s="81"/>
      <c r="CN70" s="81"/>
      <c r="CO70" s="81"/>
      <c r="CP70" s="81"/>
      <c r="CQ70" s="81"/>
      <c r="CR70" s="81"/>
      <c r="CS70" s="81"/>
      <c r="CT70" s="81"/>
      <c r="CU70" s="81"/>
      <c r="CV70" s="81"/>
      <c r="CW70" s="81"/>
      <c r="CX70" s="81"/>
      <c r="CY70" s="81"/>
      <c r="CZ70" s="81"/>
      <c r="DA70" s="81"/>
      <c r="DB70" s="81"/>
      <c r="DC70" s="81"/>
      <c r="DD70" s="81"/>
      <c r="DE70" s="81"/>
      <c r="DF70" s="81"/>
      <c r="DG70" s="81"/>
      <c r="DH70" s="81"/>
      <c r="DI70" s="81"/>
      <c r="DJ70" s="81"/>
      <c r="DK70" s="81"/>
      <c r="DL70" s="81"/>
      <c r="DM70" s="81"/>
      <c r="DN70" s="81"/>
      <c r="DO70" s="81"/>
      <c r="DP70" s="81"/>
      <c r="DQ70" s="81"/>
      <c r="DR70" s="81"/>
      <c r="DS70" s="81"/>
      <c r="DT70" s="81"/>
      <c r="DU70" s="81"/>
      <c r="DV70" s="81"/>
      <c r="DW70" s="81"/>
      <c r="DX70" s="81"/>
      <c r="DY70" s="81"/>
      <c r="DZ70" s="81"/>
      <c r="EA70" s="81"/>
    </row>
    <row r="71" spans="2:131" ht="17.100000000000001" customHeight="1">
      <c r="B71" s="58">
        <v>4</v>
      </c>
      <c r="C71" s="58" t="s">
        <v>658</v>
      </c>
      <c r="D71" s="59"/>
      <c r="E71" s="60"/>
      <c r="F71" s="60"/>
      <c r="G71" s="60" t="s">
        <v>891</v>
      </c>
      <c r="H71" s="62"/>
      <c r="I71" s="123"/>
      <c r="J71" s="61"/>
      <c r="K71" s="61"/>
      <c r="L71" s="123"/>
      <c r="M71" s="145" t="s">
        <v>836</v>
      </c>
      <c r="N71" s="145"/>
      <c r="O71" s="61"/>
      <c r="P71" s="61"/>
      <c r="Q71" s="61"/>
      <c r="R71" s="61"/>
      <c r="S71" s="61"/>
      <c r="T71" s="61"/>
      <c r="U71" s="63"/>
      <c r="V71" s="64">
        <v>45125</v>
      </c>
      <c r="W71" s="61">
        <v>9</v>
      </c>
      <c r="X71" s="140">
        <f t="shared" si="52"/>
        <v>45135</v>
      </c>
      <c r="Y71" s="64">
        <v>45120</v>
      </c>
      <c r="Z71" s="126">
        <f t="shared" ref="Z71:Z80" ca="1" si="53">IF(AND(Y71="",AA71="")=TRUE,"",IF(AND(Y71&gt;0,AA71="")=TRUE,NETWORKDAYS(Y71,TODAY(),Holidays),NETWORKDAYS(Y71,AA71,Holidays)))</f>
        <v>8</v>
      </c>
      <c r="AA71" s="65">
        <v>45131</v>
      </c>
      <c r="AB71" s="66">
        <v>1</v>
      </c>
      <c r="AC71" s="125" t="str">
        <f t="shared" si="2"/>
        <v>Completed</v>
      </c>
      <c r="AD71" s="152"/>
      <c r="AE71" s="80">
        <v>45167</v>
      </c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  <c r="BA71" s="81"/>
      <c r="BB71" s="81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81"/>
      <c r="CF71" s="81"/>
      <c r="CG71" s="81"/>
      <c r="CH71" s="81"/>
      <c r="CI71" s="81"/>
      <c r="CJ71" s="81"/>
      <c r="CK71" s="81"/>
      <c r="CL71" s="81"/>
      <c r="CM71" s="81"/>
      <c r="CN71" s="81"/>
      <c r="CO71" s="81"/>
      <c r="CP71" s="81"/>
      <c r="CQ71" s="81"/>
      <c r="CR71" s="81"/>
      <c r="CS71" s="81"/>
      <c r="CT71" s="81"/>
      <c r="CU71" s="81"/>
      <c r="CV71" s="81"/>
      <c r="CW71" s="81"/>
      <c r="CX71" s="81"/>
      <c r="CY71" s="81"/>
      <c r="CZ71" s="81"/>
      <c r="DA71" s="81"/>
      <c r="DB71" s="81"/>
      <c r="DC71" s="81"/>
      <c r="DD71" s="81"/>
      <c r="DE71" s="81"/>
      <c r="DF71" s="81"/>
      <c r="DG71" s="81"/>
      <c r="DH71" s="81"/>
      <c r="DI71" s="81"/>
      <c r="DJ71" s="81"/>
      <c r="DK71" s="81"/>
      <c r="DL71" s="81"/>
      <c r="DM71" s="81"/>
      <c r="DN71" s="81"/>
      <c r="DO71" s="81"/>
      <c r="DP71" s="81"/>
      <c r="DQ71" s="81"/>
      <c r="DR71" s="81"/>
      <c r="DS71" s="81"/>
      <c r="DT71" s="81"/>
      <c r="DU71" s="81"/>
      <c r="DV71" s="81"/>
      <c r="DW71" s="81"/>
      <c r="DX71" s="81"/>
      <c r="DY71" s="81"/>
      <c r="DZ71" s="81"/>
      <c r="EA71" s="81"/>
    </row>
    <row r="72" spans="2:131" ht="17.100000000000001" customHeight="1">
      <c r="B72" s="58">
        <v>4</v>
      </c>
      <c r="C72" s="58" t="s">
        <v>658</v>
      </c>
      <c r="D72" s="59"/>
      <c r="E72" s="60"/>
      <c r="F72" s="60"/>
      <c r="G72" s="60" t="s">
        <v>892</v>
      </c>
      <c r="H72" s="62"/>
      <c r="I72" s="123"/>
      <c r="J72" s="61"/>
      <c r="K72" s="61"/>
      <c r="L72" s="123"/>
      <c r="M72" s="145" t="s">
        <v>836</v>
      </c>
      <c r="N72" s="145"/>
      <c r="O72" s="61"/>
      <c r="P72" s="61"/>
      <c r="Q72" s="61"/>
      <c r="R72" s="61"/>
      <c r="S72" s="61"/>
      <c r="T72" s="61"/>
      <c r="U72" s="63"/>
      <c r="V72" s="64">
        <v>45138</v>
      </c>
      <c r="W72" s="61">
        <v>5</v>
      </c>
      <c r="X72" s="140">
        <f t="shared" ref="X72" si="54">IF(AND(V72="",W72="")=TRUE,"",WORKDAY(V72,W72-1,Holidays))</f>
        <v>45142</v>
      </c>
      <c r="Y72" s="64">
        <v>45138</v>
      </c>
      <c r="Z72" s="126">
        <f t="shared" ca="1" si="53"/>
        <v>12</v>
      </c>
      <c r="AA72" s="65">
        <v>45154</v>
      </c>
      <c r="AB72" s="66">
        <v>1</v>
      </c>
      <c r="AC72" s="125" t="str">
        <f t="shared" si="2"/>
        <v>Completed</v>
      </c>
      <c r="AD72" s="166" t="s">
        <v>948</v>
      </c>
      <c r="AE72" s="80">
        <v>45168</v>
      </c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  <c r="BA72" s="81"/>
      <c r="BB72" s="81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81"/>
      <c r="CF72" s="81"/>
      <c r="CG72" s="81"/>
      <c r="CH72" s="81"/>
      <c r="CI72" s="81"/>
      <c r="CJ72" s="81"/>
      <c r="CK72" s="81"/>
      <c r="CL72" s="81"/>
      <c r="CM72" s="81"/>
      <c r="CN72" s="81"/>
      <c r="CO72" s="81"/>
      <c r="CP72" s="81"/>
      <c r="CQ72" s="81"/>
      <c r="CR72" s="81"/>
      <c r="CS72" s="81"/>
      <c r="CT72" s="81"/>
      <c r="CU72" s="81"/>
      <c r="CV72" s="81"/>
      <c r="CW72" s="81"/>
      <c r="CX72" s="81"/>
      <c r="CY72" s="81"/>
      <c r="CZ72" s="81"/>
      <c r="DA72" s="81"/>
      <c r="DB72" s="81"/>
      <c r="DC72" s="81"/>
      <c r="DD72" s="81"/>
      <c r="DE72" s="81"/>
      <c r="DF72" s="81"/>
      <c r="DG72" s="81"/>
      <c r="DH72" s="81"/>
      <c r="DI72" s="81"/>
      <c r="DJ72" s="81"/>
      <c r="DK72" s="81"/>
      <c r="DL72" s="81"/>
      <c r="DM72" s="81"/>
      <c r="DN72" s="81"/>
      <c r="DO72" s="81"/>
      <c r="DP72" s="81"/>
      <c r="DQ72" s="81"/>
      <c r="DR72" s="81"/>
      <c r="DS72" s="81"/>
      <c r="DT72" s="81"/>
      <c r="DU72" s="81"/>
      <c r="DV72" s="81"/>
      <c r="DW72" s="81"/>
      <c r="DX72" s="81"/>
      <c r="DY72" s="81"/>
      <c r="DZ72" s="81"/>
      <c r="EA72" s="81"/>
    </row>
    <row r="73" spans="2:131" ht="17.100000000000001" customHeight="1">
      <c r="B73" s="92">
        <v>3</v>
      </c>
      <c r="C73" s="92" t="s">
        <v>655</v>
      </c>
      <c r="D73" s="93"/>
      <c r="E73" s="94"/>
      <c r="F73" s="94" t="s">
        <v>961</v>
      </c>
      <c r="G73" s="94"/>
      <c r="H73" s="95"/>
      <c r="I73" s="118" t="str">
        <f t="shared" ref="I73:U73" si="55">IF(COUNTIF(I74:I78,"●")&gt;0,"●","")</f>
        <v>●</v>
      </c>
      <c r="J73" s="91" t="str">
        <f t="shared" si="55"/>
        <v>●</v>
      </c>
      <c r="K73" s="91" t="str">
        <f t="shared" si="55"/>
        <v/>
      </c>
      <c r="L73" s="118" t="str">
        <f t="shared" si="55"/>
        <v/>
      </c>
      <c r="M73" s="91" t="str">
        <f t="shared" si="55"/>
        <v>●</v>
      </c>
      <c r="N73" s="144" t="str">
        <f t="shared" si="55"/>
        <v/>
      </c>
      <c r="O73" s="144" t="str">
        <f t="shared" si="55"/>
        <v/>
      </c>
      <c r="P73" s="144" t="str">
        <f t="shared" ref="P73" si="56">IF(COUNTIF(P74:P78,"●")&gt;0,"●","")</f>
        <v/>
      </c>
      <c r="Q73" s="144" t="str">
        <f t="shared" si="55"/>
        <v/>
      </c>
      <c r="R73" s="144" t="str">
        <f t="shared" si="55"/>
        <v/>
      </c>
      <c r="S73" s="144" t="str">
        <f t="shared" si="55"/>
        <v/>
      </c>
      <c r="T73" s="144" t="str">
        <f t="shared" si="55"/>
        <v/>
      </c>
      <c r="U73" s="144" t="str">
        <f t="shared" si="55"/>
        <v/>
      </c>
      <c r="V73" s="96">
        <f>IF(MIN(V74:V78)=0,"",MIN(V74:V78))</f>
        <v>45145</v>
      </c>
      <c r="W73" s="97">
        <f ca="1">IF(AND(V73="",X73="")=TRUE,"",IF(AND(V73&gt;0,X73="")=TRUE,NETWORKDAYS(V73,TODAY(),Holidays),NETWORKDAYS(V73,X73,Holidays)))</f>
        <v>15</v>
      </c>
      <c r="X73" s="138">
        <f>IF(MAX(X74:X78)=0,"",MAX(X74:X78))</f>
        <v>45166</v>
      </c>
      <c r="Y73" s="96">
        <f>IF(MIN(Y74:Y78)=0,"",MIN(Y74:Y78))</f>
        <v>45149</v>
      </c>
      <c r="Z73" s="97">
        <f t="shared" ca="1" si="53"/>
        <v>19</v>
      </c>
      <c r="AA73" s="98">
        <f>IF(MAX(AA74:AA78)=0,"",MAX(AA74:AA78))</f>
        <v>45176</v>
      </c>
      <c r="AB73" s="99">
        <f>IFERROR(AVERAGE(AB74:AB78),"")</f>
        <v>1</v>
      </c>
      <c r="AC73" s="100" t="str">
        <f t="shared" si="2"/>
        <v>Completed</v>
      </c>
      <c r="AD73" s="154" t="s">
        <v>962</v>
      </c>
      <c r="AE73" s="80">
        <v>45169</v>
      </c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  <c r="BA73" s="81"/>
      <c r="BB73" s="81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81"/>
      <c r="CF73" s="81"/>
      <c r="CG73" s="81"/>
      <c r="CH73" s="81"/>
      <c r="CI73" s="81"/>
      <c r="CJ73" s="81"/>
      <c r="CK73" s="81"/>
      <c r="CL73" s="81"/>
      <c r="CM73" s="81"/>
      <c r="CN73" s="81"/>
      <c r="CO73" s="81"/>
      <c r="CP73" s="81"/>
      <c r="CQ73" s="81"/>
      <c r="CR73" s="81"/>
      <c r="CS73" s="81"/>
      <c r="CT73" s="81"/>
      <c r="CU73" s="81"/>
      <c r="CV73" s="81"/>
      <c r="CW73" s="81"/>
      <c r="CX73" s="81"/>
      <c r="CY73" s="81"/>
      <c r="CZ73" s="81"/>
      <c r="DA73" s="81"/>
      <c r="DB73" s="81"/>
      <c r="DC73" s="81"/>
      <c r="DD73" s="81"/>
      <c r="DE73" s="81"/>
      <c r="DF73" s="81"/>
      <c r="DG73" s="81"/>
      <c r="DH73" s="81"/>
      <c r="DI73" s="81"/>
      <c r="DJ73" s="81"/>
      <c r="DK73" s="81"/>
      <c r="DL73" s="81"/>
      <c r="DM73" s="81"/>
      <c r="DN73" s="81"/>
      <c r="DO73" s="81"/>
      <c r="DP73" s="81"/>
      <c r="DQ73" s="81"/>
      <c r="DR73" s="81"/>
      <c r="DS73" s="81"/>
      <c r="DT73" s="81"/>
      <c r="DU73" s="81"/>
      <c r="DV73" s="81"/>
      <c r="DW73" s="81"/>
      <c r="DX73" s="81"/>
      <c r="DY73" s="81"/>
      <c r="DZ73" s="81"/>
      <c r="EA73" s="81"/>
    </row>
    <row r="74" spans="2:131" ht="17.100000000000001" customHeight="1">
      <c r="B74" s="58">
        <v>4</v>
      </c>
      <c r="C74" s="58" t="s">
        <v>658</v>
      </c>
      <c r="D74" s="59"/>
      <c r="E74" s="60"/>
      <c r="F74" s="60"/>
      <c r="G74" s="60" t="s">
        <v>894</v>
      </c>
      <c r="H74" s="62"/>
      <c r="I74" s="145" t="s">
        <v>836</v>
      </c>
      <c r="J74" s="145" t="s">
        <v>836</v>
      </c>
      <c r="K74" s="61"/>
      <c r="L74" s="123"/>
      <c r="M74" s="145" t="s">
        <v>836</v>
      </c>
      <c r="N74" s="145"/>
      <c r="O74" s="61"/>
      <c r="P74" s="61"/>
      <c r="Q74" s="61"/>
      <c r="R74" s="61"/>
      <c r="S74" s="61"/>
      <c r="T74" s="61"/>
      <c r="U74" s="63"/>
      <c r="V74" s="64">
        <v>45145</v>
      </c>
      <c r="W74" s="61">
        <v>15</v>
      </c>
      <c r="X74" s="140">
        <f t="shared" ref="X74:X78" si="57">IF(AND(V74="",W74="")=TRUE,"",WORKDAY(V74,W74-1,Holidays))</f>
        <v>45166</v>
      </c>
      <c r="Y74" s="64">
        <v>45149</v>
      </c>
      <c r="Z74" s="126">
        <f t="shared" ca="1" si="53"/>
        <v>7</v>
      </c>
      <c r="AA74" s="65">
        <v>45160</v>
      </c>
      <c r="AB74" s="66">
        <v>1</v>
      </c>
      <c r="AC74" s="125" t="str">
        <f t="shared" si="2"/>
        <v>Completed</v>
      </c>
      <c r="AD74" s="152"/>
      <c r="AE74" s="80">
        <v>45170</v>
      </c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  <c r="BA74" s="81"/>
      <c r="BB74" s="81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81"/>
      <c r="CF74" s="81"/>
      <c r="CG74" s="81"/>
      <c r="CH74" s="81"/>
      <c r="CI74" s="81"/>
      <c r="CJ74" s="81"/>
      <c r="CK74" s="81"/>
      <c r="CL74" s="81"/>
      <c r="CM74" s="81"/>
      <c r="CN74" s="81"/>
      <c r="CO74" s="81"/>
      <c r="CP74" s="81"/>
      <c r="CQ74" s="81"/>
      <c r="CR74" s="81"/>
      <c r="CS74" s="81"/>
      <c r="CT74" s="81"/>
      <c r="CU74" s="81"/>
      <c r="CV74" s="81"/>
      <c r="CW74" s="81"/>
      <c r="CX74" s="81"/>
      <c r="CY74" s="81"/>
      <c r="CZ74" s="81"/>
      <c r="DA74" s="81"/>
      <c r="DB74" s="81"/>
      <c r="DC74" s="81"/>
      <c r="DD74" s="81"/>
      <c r="DE74" s="81"/>
      <c r="DF74" s="81"/>
      <c r="DG74" s="81"/>
      <c r="DH74" s="81"/>
      <c r="DI74" s="81"/>
      <c r="DJ74" s="81"/>
      <c r="DK74" s="81"/>
      <c r="DL74" s="81"/>
      <c r="DM74" s="81"/>
      <c r="DN74" s="81"/>
      <c r="DO74" s="81"/>
      <c r="DP74" s="81"/>
      <c r="DQ74" s="81"/>
      <c r="DR74" s="81"/>
      <c r="DS74" s="81"/>
      <c r="DT74" s="81"/>
      <c r="DU74" s="81"/>
      <c r="DV74" s="81"/>
      <c r="DW74" s="81"/>
      <c r="DX74" s="81"/>
      <c r="DY74" s="81"/>
      <c r="DZ74" s="81"/>
      <c r="EA74" s="81"/>
    </row>
    <row r="75" spans="2:131" ht="17.100000000000001" customHeight="1">
      <c r="B75" s="58">
        <v>4</v>
      </c>
      <c r="C75" s="58" t="s">
        <v>658</v>
      </c>
      <c r="D75" s="59"/>
      <c r="E75" s="60"/>
      <c r="F75" s="60"/>
      <c r="G75" s="60" t="s">
        <v>895</v>
      </c>
      <c r="H75" s="62"/>
      <c r="I75" s="145" t="s">
        <v>836</v>
      </c>
      <c r="J75" s="145" t="s">
        <v>836</v>
      </c>
      <c r="K75" s="61"/>
      <c r="L75" s="123"/>
      <c r="M75" s="145" t="s">
        <v>836</v>
      </c>
      <c r="N75" s="145"/>
      <c r="O75" s="61"/>
      <c r="P75" s="61"/>
      <c r="Q75" s="61"/>
      <c r="R75" s="61"/>
      <c r="S75" s="61"/>
      <c r="T75" s="61"/>
      <c r="U75" s="63"/>
      <c r="V75" s="64">
        <v>45145</v>
      </c>
      <c r="W75" s="61">
        <v>15</v>
      </c>
      <c r="X75" s="140">
        <f t="shared" si="57"/>
        <v>45166</v>
      </c>
      <c r="Y75" s="64">
        <v>45149</v>
      </c>
      <c r="Z75" s="126">
        <f t="shared" ca="1" si="53"/>
        <v>7</v>
      </c>
      <c r="AA75" s="65">
        <v>45160</v>
      </c>
      <c r="AB75" s="66">
        <v>1</v>
      </c>
      <c r="AC75" s="125" t="str">
        <f t="shared" si="2"/>
        <v>Completed</v>
      </c>
      <c r="AD75" s="152"/>
      <c r="AE75" s="80">
        <v>45173</v>
      </c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  <c r="BA75" s="81"/>
      <c r="BB75" s="81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81"/>
      <c r="CF75" s="81"/>
      <c r="CG75" s="81"/>
      <c r="CH75" s="81"/>
      <c r="CI75" s="81"/>
      <c r="CJ75" s="81"/>
      <c r="CK75" s="81"/>
      <c r="CL75" s="81"/>
      <c r="CM75" s="81"/>
      <c r="CN75" s="81"/>
      <c r="CO75" s="81"/>
      <c r="CP75" s="81"/>
      <c r="CQ75" s="81"/>
      <c r="CR75" s="81"/>
      <c r="CS75" s="81"/>
      <c r="CT75" s="81"/>
      <c r="CU75" s="81"/>
      <c r="CV75" s="81"/>
      <c r="CW75" s="81"/>
      <c r="CX75" s="81"/>
      <c r="CY75" s="81"/>
      <c r="CZ75" s="81"/>
      <c r="DA75" s="81"/>
      <c r="DB75" s="81"/>
      <c r="DC75" s="81"/>
      <c r="DD75" s="81"/>
      <c r="DE75" s="81"/>
      <c r="DF75" s="81"/>
      <c r="DG75" s="81"/>
      <c r="DH75" s="81"/>
      <c r="DI75" s="81"/>
      <c r="DJ75" s="81"/>
      <c r="DK75" s="81"/>
      <c r="DL75" s="81"/>
      <c r="DM75" s="81"/>
      <c r="DN75" s="81"/>
      <c r="DO75" s="81"/>
      <c r="DP75" s="81"/>
      <c r="DQ75" s="81"/>
      <c r="DR75" s="81"/>
      <c r="DS75" s="81"/>
      <c r="DT75" s="81"/>
      <c r="DU75" s="81"/>
      <c r="DV75" s="81"/>
      <c r="DW75" s="81"/>
      <c r="DX75" s="81"/>
      <c r="DY75" s="81"/>
      <c r="DZ75" s="81"/>
      <c r="EA75" s="81"/>
    </row>
    <row r="76" spans="2:131" ht="17.100000000000001" customHeight="1">
      <c r="B76" s="58">
        <v>4</v>
      </c>
      <c r="C76" s="58" t="s">
        <v>658</v>
      </c>
      <c r="D76" s="59"/>
      <c r="E76" s="60"/>
      <c r="F76" s="60"/>
      <c r="G76" s="60" t="s">
        <v>896</v>
      </c>
      <c r="H76" s="62"/>
      <c r="I76" s="145" t="s">
        <v>836</v>
      </c>
      <c r="J76" s="145" t="s">
        <v>836</v>
      </c>
      <c r="K76" s="61"/>
      <c r="L76" s="123"/>
      <c r="M76" s="145" t="s">
        <v>836</v>
      </c>
      <c r="N76" s="145"/>
      <c r="O76" s="61"/>
      <c r="P76" s="61"/>
      <c r="Q76" s="61"/>
      <c r="R76" s="61"/>
      <c r="S76" s="61"/>
      <c r="T76" s="61"/>
      <c r="U76" s="63"/>
      <c r="V76" s="64">
        <v>45145</v>
      </c>
      <c r="W76" s="61">
        <v>15</v>
      </c>
      <c r="X76" s="140">
        <f t="shared" si="57"/>
        <v>45166</v>
      </c>
      <c r="Y76" s="64">
        <v>45159</v>
      </c>
      <c r="Z76" s="126">
        <f t="shared" ca="1" si="53"/>
        <v>8</v>
      </c>
      <c r="AA76" s="65">
        <v>45168</v>
      </c>
      <c r="AB76" s="66">
        <v>1</v>
      </c>
      <c r="AC76" s="125" t="str">
        <f t="shared" si="2"/>
        <v>Completed</v>
      </c>
      <c r="AD76" s="166" t="s">
        <v>953</v>
      </c>
      <c r="AE76" s="80">
        <v>45174</v>
      </c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  <c r="BA76" s="81"/>
      <c r="BB76" s="81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81"/>
      <c r="CF76" s="81"/>
      <c r="CG76" s="81"/>
      <c r="CH76" s="81"/>
      <c r="CI76" s="81"/>
      <c r="CJ76" s="81"/>
      <c r="CK76" s="81"/>
      <c r="CL76" s="81"/>
      <c r="CM76" s="81"/>
      <c r="CN76" s="81"/>
      <c r="CO76" s="81"/>
      <c r="CP76" s="81"/>
      <c r="CQ76" s="81"/>
      <c r="CR76" s="81"/>
      <c r="CS76" s="81"/>
      <c r="CT76" s="81"/>
      <c r="CU76" s="81"/>
      <c r="CV76" s="81"/>
      <c r="CW76" s="81"/>
      <c r="CX76" s="81"/>
      <c r="CY76" s="81"/>
      <c r="CZ76" s="81"/>
      <c r="DA76" s="81"/>
      <c r="DB76" s="81"/>
      <c r="DC76" s="81"/>
      <c r="DD76" s="81"/>
      <c r="DE76" s="81"/>
      <c r="DF76" s="81"/>
      <c r="DG76" s="81"/>
      <c r="DH76" s="81"/>
      <c r="DI76" s="81"/>
      <c r="DJ76" s="81"/>
      <c r="DK76" s="81"/>
      <c r="DL76" s="81"/>
      <c r="DM76" s="81"/>
      <c r="DN76" s="81"/>
      <c r="DO76" s="81"/>
      <c r="DP76" s="81"/>
      <c r="DQ76" s="81"/>
      <c r="DR76" s="81"/>
      <c r="DS76" s="81"/>
      <c r="DT76" s="81"/>
      <c r="DU76" s="81"/>
      <c r="DV76" s="81"/>
      <c r="DW76" s="81"/>
      <c r="DX76" s="81"/>
      <c r="DY76" s="81"/>
      <c r="DZ76" s="81"/>
      <c r="EA76" s="81"/>
    </row>
    <row r="77" spans="2:131" ht="17.100000000000001" customHeight="1">
      <c r="B77" s="58">
        <v>4</v>
      </c>
      <c r="C77" s="58" t="s">
        <v>658</v>
      </c>
      <c r="D77" s="59"/>
      <c r="E77" s="60"/>
      <c r="F77" s="60"/>
      <c r="G77" s="60" t="s">
        <v>897</v>
      </c>
      <c r="H77" s="62"/>
      <c r="I77" s="145" t="s">
        <v>836</v>
      </c>
      <c r="J77" s="145" t="s">
        <v>836</v>
      </c>
      <c r="K77" s="61"/>
      <c r="L77" s="123"/>
      <c r="M77" s="145" t="s">
        <v>836</v>
      </c>
      <c r="N77" s="145"/>
      <c r="O77" s="61"/>
      <c r="P77" s="61"/>
      <c r="Q77" s="61"/>
      <c r="R77" s="61"/>
      <c r="S77" s="61"/>
      <c r="T77" s="61"/>
      <c r="U77" s="63"/>
      <c r="V77" s="64">
        <v>45145</v>
      </c>
      <c r="W77" s="61">
        <v>15</v>
      </c>
      <c r="X77" s="140">
        <f t="shared" si="57"/>
        <v>45166</v>
      </c>
      <c r="Y77" s="64">
        <v>45149</v>
      </c>
      <c r="Z77" s="126">
        <f t="shared" ca="1" si="53"/>
        <v>7</v>
      </c>
      <c r="AA77" s="65">
        <v>45160</v>
      </c>
      <c r="AB77" s="66">
        <v>1</v>
      </c>
      <c r="AC77" s="125" t="str">
        <f t="shared" ref="AC77:AC128" si="58">IF(AB77=100%,"Completed",IF(AND(AB77&lt;100%,AB77&gt;0%)=TRUE,"In-Progress","Open"))</f>
        <v>Completed</v>
      </c>
      <c r="AD77" s="152"/>
      <c r="AE77" s="80">
        <v>45175</v>
      </c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  <c r="BA77" s="81"/>
      <c r="BB77" s="81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81"/>
      <c r="CF77" s="81"/>
      <c r="CG77" s="81"/>
      <c r="CH77" s="81"/>
      <c r="CI77" s="81"/>
      <c r="CJ77" s="81"/>
      <c r="CK77" s="81"/>
      <c r="CL77" s="81"/>
      <c r="CM77" s="81"/>
      <c r="CN77" s="81"/>
      <c r="CO77" s="81"/>
      <c r="CP77" s="81"/>
      <c r="CQ77" s="81"/>
      <c r="CR77" s="81"/>
      <c r="CS77" s="81"/>
      <c r="CT77" s="81"/>
      <c r="CU77" s="81"/>
      <c r="CV77" s="81"/>
      <c r="CW77" s="81"/>
      <c r="CX77" s="81"/>
      <c r="CY77" s="81"/>
      <c r="CZ77" s="81"/>
      <c r="DA77" s="81"/>
      <c r="DB77" s="81"/>
      <c r="DC77" s="81"/>
      <c r="DD77" s="81"/>
      <c r="DE77" s="81"/>
      <c r="DF77" s="81"/>
      <c r="DG77" s="81"/>
      <c r="DH77" s="81"/>
      <c r="DI77" s="81"/>
      <c r="DJ77" s="81"/>
      <c r="DK77" s="81"/>
      <c r="DL77" s="81"/>
      <c r="DM77" s="81"/>
      <c r="DN77" s="81"/>
      <c r="DO77" s="81"/>
      <c r="DP77" s="81"/>
      <c r="DQ77" s="81"/>
      <c r="DR77" s="81"/>
      <c r="DS77" s="81"/>
      <c r="DT77" s="81"/>
      <c r="DU77" s="81"/>
      <c r="DV77" s="81"/>
      <c r="DW77" s="81"/>
      <c r="DX77" s="81"/>
      <c r="DY77" s="81"/>
      <c r="DZ77" s="81"/>
      <c r="EA77" s="81"/>
    </row>
    <row r="78" spans="2:131" ht="17.25" customHeight="1">
      <c r="B78" s="58">
        <v>4</v>
      </c>
      <c r="C78" s="58" t="s">
        <v>658</v>
      </c>
      <c r="D78" s="59"/>
      <c r="E78" s="60"/>
      <c r="F78" s="60"/>
      <c r="G78" s="60" t="s">
        <v>898</v>
      </c>
      <c r="H78" s="62"/>
      <c r="I78" s="145" t="s">
        <v>836</v>
      </c>
      <c r="J78" s="145" t="s">
        <v>836</v>
      </c>
      <c r="K78" s="61"/>
      <c r="L78" s="123"/>
      <c r="M78" s="145" t="s">
        <v>836</v>
      </c>
      <c r="N78" s="145"/>
      <c r="O78" s="61"/>
      <c r="P78" s="61"/>
      <c r="Q78" s="61"/>
      <c r="R78" s="61"/>
      <c r="S78" s="61"/>
      <c r="T78" s="61"/>
      <c r="U78" s="63"/>
      <c r="V78" s="64">
        <v>45145</v>
      </c>
      <c r="W78" s="61">
        <v>15</v>
      </c>
      <c r="X78" s="140">
        <f t="shared" si="57"/>
        <v>45166</v>
      </c>
      <c r="Y78" s="64">
        <v>45149</v>
      </c>
      <c r="Z78" s="126">
        <f t="shared" ca="1" si="53"/>
        <v>19</v>
      </c>
      <c r="AA78" s="65">
        <v>45176</v>
      </c>
      <c r="AB78" s="66">
        <v>1</v>
      </c>
      <c r="AC78" s="125" t="str">
        <f t="shared" si="58"/>
        <v>Completed</v>
      </c>
      <c r="AD78" s="166" t="s">
        <v>954</v>
      </c>
      <c r="AE78" s="80">
        <v>45176</v>
      </c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  <c r="BA78" s="81"/>
      <c r="BB78" s="81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81"/>
      <c r="CF78" s="81"/>
      <c r="CG78" s="81"/>
      <c r="CH78" s="81"/>
      <c r="CI78" s="81"/>
      <c r="CJ78" s="81"/>
      <c r="CK78" s="81"/>
      <c r="CL78" s="81"/>
      <c r="CM78" s="81"/>
      <c r="CN78" s="81"/>
      <c r="CO78" s="81"/>
      <c r="CP78" s="81"/>
      <c r="CQ78" s="81"/>
      <c r="CR78" s="81"/>
      <c r="CS78" s="81"/>
      <c r="CT78" s="81"/>
      <c r="CU78" s="81"/>
      <c r="CV78" s="81"/>
      <c r="CW78" s="81"/>
      <c r="CX78" s="81"/>
      <c r="CY78" s="81"/>
      <c r="CZ78" s="81"/>
      <c r="DA78" s="81"/>
      <c r="DB78" s="81"/>
      <c r="DC78" s="81"/>
      <c r="DD78" s="81"/>
      <c r="DE78" s="81"/>
      <c r="DF78" s="81"/>
      <c r="DG78" s="81"/>
      <c r="DH78" s="81"/>
      <c r="DI78" s="81"/>
      <c r="DJ78" s="81"/>
      <c r="DK78" s="81"/>
      <c r="DL78" s="81"/>
      <c r="DM78" s="81"/>
      <c r="DN78" s="81"/>
      <c r="DO78" s="81"/>
      <c r="DP78" s="81"/>
      <c r="DQ78" s="81"/>
      <c r="DR78" s="81"/>
      <c r="DS78" s="81"/>
      <c r="DT78" s="81"/>
      <c r="DU78" s="81"/>
      <c r="DV78" s="81"/>
      <c r="DW78" s="81"/>
      <c r="DX78" s="81"/>
      <c r="DY78" s="81"/>
      <c r="DZ78" s="81"/>
      <c r="EA78" s="81"/>
    </row>
    <row r="79" spans="2:131" ht="17.100000000000001" customHeight="1">
      <c r="B79" s="92">
        <v>3</v>
      </c>
      <c r="C79" s="92" t="s">
        <v>655</v>
      </c>
      <c r="D79" s="93"/>
      <c r="E79" s="94"/>
      <c r="F79" s="94" t="s">
        <v>900</v>
      </c>
      <c r="G79" s="94"/>
      <c r="H79" s="95"/>
      <c r="I79" s="118" t="str">
        <f>IF(COUNTIF(I80:I82,"●")&gt;0,"●","")</f>
        <v/>
      </c>
      <c r="J79" s="91" t="str">
        <f t="shared" ref="J79:K79" si="59">IF(COUNTIF(J80:J82,"●")&gt;0,"●","")</f>
        <v/>
      </c>
      <c r="K79" s="91" t="str">
        <f t="shared" si="59"/>
        <v/>
      </c>
      <c r="L79" s="118" t="str">
        <f>IF(COUNTIF(L80:L82,"●")&gt;0,"●","")</f>
        <v/>
      </c>
      <c r="M79" s="91" t="str">
        <f t="shared" ref="M79:U79" si="60">IF(COUNTIF(M80:M82,"●")&gt;0,"●","")</f>
        <v>●</v>
      </c>
      <c r="N79" s="144" t="str">
        <f t="shared" si="60"/>
        <v/>
      </c>
      <c r="O79" s="144" t="str">
        <f t="shared" si="60"/>
        <v/>
      </c>
      <c r="P79" s="144" t="str">
        <f t="shared" ref="P79" si="61">IF(COUNTIF(P80:P82,"●")&gt;0,"●","")</f>
        <v/>
      </c>
      <c r="Q79" s="144" t="str">
        <f t="shared" si="60"/>
        <v/>
      </c>
      <c r="R79" s="144" t="str">
        <f t="shared" si="60"/>
        <v/>
      </c>
      <c r="S79" s="144" t="str">
        <f t="shared" si="60"/>
        <v/>
      </c>
      <c r="T79" s="144" t="str">
        <f t="shared" si="60"/>
        <v/>
      </c>
      <c r="U79" s="144" t="str">
        <f t="shared" si="60"/>
        <v/>
      </c>
      <c r="V79" s="96">
        <f>IF(MIN(V80:V82)=0,"",MIN(V80:V82))</f>
        <v>45145</v>
      </c>
      <c r="W79" s="97">
        <f ca="1">IF(AND(V79="",X79="")=TRUE,"",IF(AND(V79&gt;0,X79="")=TRUE,NETWORKDAYS(V79,TODAY(),Holidays),NETWORKDAYS(V79,X79,Holidays)))</f>
        <v>15</v>
      </c>
      <c r="X79" s="138">
        <f>IF(MAX(X80:X82)=0,"",MAX(X80:X82))</f>
        <v>45166</v>
      </c>
      <c r="Y79" s="96">
        <f>IF(MIN(Y80:Y82)=0,"",MIN(Y80:Y82))</f>
        <v>45154</v>
      </c>
      <c r="Z79" s="97">
        <f t="shared" ca="1" si="53"/>
        <v>27</v>
      </c>
      <c r="AA79" s="98">
        <f>IF(MAX(AA80:AA82)=0,"",MAX(AA80:AA82))</f>
        <v>45190</v>
      </c>
      <c r="AB79" s="99">
        <f>IFERROR(AVERAGE(AB80:AB82),"")</f>
        <v>1</v>
      </c>
      <c r="AC79" s="100" t="str">
        <f t="shared" si="58"/>
        <v>Completed</v>
      </c>
      <c r="AD79" s="154"/>
      <c r="AE79" s="80">
        <v>45177</v>
      </c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  <c r="BA79" s="81"/>
      <c r="BB79" s="81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81"/>
      <c r="CF79" s="81"/>
      <c r="CG79" s="81"/>
      <c r="CH79" s="81"/>
      <c r="CI79" s="81"/>
      <c r="CJ79" s="81"/>
      <c r="CK79" s="81"/>
      <c r="CL79" s="81"/>
      <c r="CM79" s="81"/>
      <c r="CN79" s="81"/>
      <c r="CO79" s="81"/>
      <c r="CP79" s="81"/>
      <c r="CQ79" s="81"/>
      <c r="CR79" s="81"/>
      <c r="CS79" s="81"/>
      <c r="CT79" s="81"/>
      <c r="CU79" s="81"/>
      <c r="CV79" s="81"/>
      <c r="CW79" s="81"/>
      <c r="CX79" s="81"/>
      <c r="CY79" s="81"/>
      <c r="CZ79" s="81"/>
      <c r="DA79" s="81"/>
      <c r="DB79" s="81"/>
      <c r="DC79" s="81"/>
      <c r="DD79" s="81"/>
      <c r="DE79" s="81"/>
      <c r="DF79" s="81"/>
      <c r="DG79" s="81"/>
      <c r="DH79" s="81"/>
      <c r="DI79" s="81"/>
      <c r="DJ79" s="81"/>
      <c r="DK79" s="81"/>
      <c r="DL79" s="81"/>
      <c r="DM79" s="81"/>
      <c r="DN79" s="81"/>
      <c r="DO79" s="81"/>
      <c r="DP79" s="81"/>
      <c r="DQ79" s="81"/>
      <c r="DR79" s="81"/>
      <c r="DS79" s="81"/>
      <c r="DT79" s="81"/>
      <c r="DU79" s="81"/>
      <c r="DV79" s="81"/>
      <c r="DW79" s="81"/>
      <c r="DX79" s="81"/>
      <c r="DY79" s="81"/>
      <c r="DZ79" s="81"/>
      <c r="EA79" s="81"/>
    </row>
    <row r="80" spans="2:131" ht="17.100000000000001" customHeight="1">
      <c r="B80" s="58">
        <v>4</v>
      </c>
      <c r="C80" s="58" t="s">
        <v>658</v>
      </c>
      <c r="D80" s="59"/>
      <c r="E80" s="60"/>
      <c r="F80" s="60"/>
      <c r="G80" s="60" t="s">
        <v>901</v>
      </c>
      <c r="H80" s="62"/>
      <c r="I80" s="123"/>
      <c r="J80" s="61"/>
      <c r="K80" s="61"/>
      <c r="L80" s="123"/>
      <c r="M80" s="145" t="s">
        <v>836</v>
      </c>
      <c r="N80" s="145"/>
      <c r="O80" s="61"/>
      <c r="P80" s="61"/>
      <c r="Q80" s="61"/>
      <c r="R80" s="61"/>
      <c r="S80" s="61"/>
      <c r="T80" s="61"/>
      <c r="U80" s="63"/>
      <c r="V80" s="64">
        <v>45145</v>
      </c>
      <c r="W80" s="61">
        <v>15</v>
      </c>
      <c r="X80" s="140">
        <f t="shared" ref="X80:X81" si="62">IF(AND(V80="",W80="")=TRUE,"",WORKDAY(V80,W80-1,Holidays))</f>
        <v>45166</v>
      </c>
      <c r="Y80" s="64">
        <v>45154</v>
      </c>
      <c r="Z80" s="126">
        <f t="shared" ca="1" si="53"/>
        <v>1</v>
      </c>
      <c r="AA80" s="64">
        <v>45154</v>
      </c>
      <c r="AB80" s="66">
        <v>1</v>
      </c>
      <c r="AC80" s="125" t="str">
        <f t="shared" si="58"/>
        <v>Completed</v>
      </c>
      <c r="AD80" s="152"/>
      <c r="AE80" s="80">
        <v>45180</v>
      </c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  <c r="BA80" s="81"/>
      <c r="BB80" s="81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81"/>
      <c r="CF80" s="81"/>
      <c r="CG80" s="81"/>
      <c r="CH80" s="81"/>
      <c r="CI80" s="81"/>
      <c r="CJ80" s="81"/>
      <c r="CK80" s="81"/>
      <c r="CL80" s="81"/>
      <c r="CM80" s="81"/>
      <c r="CN80" s="81"/>
      <c r="CO80" s="81"/>
      <c r="CP80" s="81"/>
      <c r="CQ80" s="81"/>
      <c r="CR80" s="81"/>
      <c r="CS80" s="81"/>
      <c r="CT80" s="81"/>
      <c r="CU80" s="81"/>
      <c r="CV80" s="81"/>
      <c r="CW80" s="81"/>
      <c r="CX80" s="81"/>
      <c r="CY80" s="81"/>
      <c r="CZ80" s="81"/>
      <c r="DA80" s="81"/>
      <c r="DB80" s="81"/>
      <c r="DC80" s="81"/>
      <c r="DD80" s="81"/>
      <c r="DE80" s="81"/>
      <c r="DF80" s="81"/>
      <c r="DG80" s="81"/>
      <c r="DH80" s="81"/>
      <c r="DI80" s="81"/>
      <c r="DJ80" s="81"/>
      <c r="DK80" s="81"/>
      <c r="DL80" s="81"/>
      <c r="DM80" s="81"/>
      <c r="DN80" s="81"/>
      <c r="DO80" s="81"/>
      <c r="DP80" s="81"/>
      <c r="DQ80" s="81"/>
      <c r="DR80" s="81"/>
      <c r="DS80" s="81"/>
      <c r="DT80" s="81"/>
      <c r="DU80" s="81"/>
      <c r="DV80" s="81"/>
      <c r="DW80" s="81"/>
      <c r="DX80" s="81"/>
      <c r="DY80" s="81"/>
      <c r="DZ80" s="81"/>
      <c r="EA80" s="81"/>
    </row>
    <row r="81" spans="2:131" ht="17.100000000000001" customHeight="1">
      <c r="B81" s="58">
        <v>4</v>
      </c>
      <c r="C81" s="58" t="s">
        <v>658</v>
      </c>
      <c r="D81" s="59"/>
      <c r="E81" s="60"/>
      <c r="F81" s="60"/>
      <c r="G81" s="60" t="s">
        <v>902</v>
      </c>
      <c r="H81" s="62"/>
      <c r="I81" s="123"/>
      <c r="J81" s="61"/>
      <c r="K81" s="61"/>
      <c r="L81" s="123"/>
      <c r="M81" s="145" t="s">
        <v>836</v>
      </c>
      <c r="N81" s="145"/>
      <c r="O81" s="61"/>
      <c r="P81" s="61"/>
      <c r="Q81" s="61"/>
      <c r="R81" s="61"/>
      <c r="S81" s="61"/>
      <c r="T81" s="61"/>
      <c r="U81" s="63"/>
      <c r="V81" s="64">
        <v>45145</v>
      </c>
      <c r="W81" s="61">
        <v>15</v>
      </c>
      <c r="X81" s="140">
        <f t="shared" si="62"/>
        <v>45166</v>
      </c>
      <c r="Y81" s="64">
        <v>45154</v>
      </c>
      <c r="Z81" s="126">
        <f t="shared" ref="Z81:Z82" ca="1" si="63">IF(AND(Y81="",AA81="")=TRUE,"",IF(AND(Y81&gt;0,AA81="")=TRUE,NETWORKDAYS(Y81,TODAY(),Holidays),NETWORKDAYS(Y81,AA81,Holidays)))</f>
        <v>27</v>
      </c>
      <c r="AA81" s="65">
        <v>45190</v>
      </c>
      <c r="AB81" s="66">
        <v>1</v>
      </c>
      <c r="AC81" s="125" t="str">
        <f t="shared" si="58"/>
        <v>Completed</v>
      </c>
      <c r="AD81" s="152" t="s">
        <v>963</v>
      </c>
      <c r="AE81" s="80">
        <v>45181</v>
      </c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  <c r="BA81" s="81"/>
      <c r="BB81" s="81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81"/>
      <c r="CF81" s="81"/>
      <c r="CG81" s="81"/>
      <c r="CH81" s="81"/>
      <c r="CI81" s="81"/>
      <c r="CJ81" s="81"/>
      <c r="CK81" s="81"/>
      <c r="CL81" s="81"/>
      <c r="CM81" s="81"/>
      <c r="CN81" s="81"/>
      <c r="CO81" s="81"/>
      <c r="CP81" s="81"/>
      <c r="CQ81" s="81"/>
      <c r="CR81" s="81"/>
      <c r="CS81" s="81"/>
      <c r="CT81" s="81"/>
      <c r="CU81" s="81"/>
      <c r="CV81" s="81"/>
      <c r="CW81" s="81"/>
      <c r="CX81" s="81"/>
      <c r="CY81" s="81"/>
      <c r="CZ81" s="81"/>
      <c r="DA81" s="81"/>
      <c r="DB81" s="81"/>
      <c r="DC81" s="81"/>
      <c r="DD81" s="81"/>
      <c r="DE81" s="81"/>
      <c r="DF81" s="81"/>
      <c r="DG81" s="81"/>
      <c r="DH81" s="81"/>
      <c r="DI81" s="81"/>
      <c r="DJ81" s="81"/>
      <c r="DK81" s="81"/>
      <c r="DL81" s="81"/>
      <c r="DM81" s="81"/>
      <c r="DN81" s="81"/>
      <c r="DO81" s="81"/>
      <c r="DP81" s="81"/>
      <c r="DQ81" s="81"/>
      <c r="DR81" s="81"/>
      <c r="DS81" s="81"/>
      <c r="DT81" s="81"/>
      <c r="DU81" s="81"/>
      <c r="DV81" s="81"/>
      <c r="DW81" s="81"/>
      <c r="DX81" s="81"/>
      <c r="DY81" s="81"/>
      <c r="DZ81" s="81"/>
      <c r="EA81" s="81"/>
    </row>
    <row r="82" spans="2:131" ht="17.100000000000001" customHeight="1">
      <c r="B82" s="58">
        <v>4</v>
      </c>
      <c r="C82" s="58" t="s">
        <v>658</v>
      </c>
      <c r="D82" s="59"/>
      <c r="E82" s="60"/>
      <c r="F82" s="60"/>
      <c r="G82" s="60" t="s">
        <v>903</v>
      </c>
      <c r="H82" s="62"/>
      <c r="I82" s="123"/>
      <c r="J82" s="61"/>
      <c r="K82" s="61"/>
      <c r="L82" s="123"/>
      <c r="M82" s="145" t="s">
        <v>836</v>
      </c>
      <c r="N82" s="145"/>
      <c r="O82" s="61"/>
      <c r="P82" s="61"/>
      <c r="Q82" s="61"/>
      <c r="R82" s="61"/>
      <c r="S82" s="61"/>
      <c r="T82" s="61"/>
      <c r="U82" s="63"/>
      <c r="V82" s="64">
        <v>45145</v>
      </c>
      <c r="W82" s="61">
        <v>15</v>
      </c>
      <c r="X82" s="140">
        <f t="shared" ref="X82" si="64">IF(AND(V82="",W82="")=TRUE,"",WORKDAY(V82,W82-1,Holidays))</f>
        <v>45166</v>
      </c>
      <c r="Y82" s="64">
        <v>45159</v>
      </c>
      <c r="Z82" s="126">
        <f t="shared" ca="1" si="63"/>
        <v>24</v>
      </c>
      <c r="AA82" s="65">
        <v>45190</v>
      </c>
      <c r="AB82" s="66">
        <v>1</v>
      </c>
      <c r="AC82" s="125" t="str">
        <f t="shared" si="58"/>
        <v>Completed</v>
      </c>
      <c r="AD82" s="166" t="s">
        <v>957</v>
      </c>
      <c r="AE82" s="80">
        <v>45182</v>
      </c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  <c r="BA82" s="81"/>
      <c r="BB82" s="81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81"/>
      <c r="CF82" s="81"/>
      <c r="CG82" s="81"/>
      <c r="CH82" s="81"/>
      <c r="CI82" s="81"/>
      <c r="CJ82" s="81"/>
      <c r="CK82" s="81"/>
      <c r="CL82" s="81"/>
      <c r="CM82" s="81"/>
      <c r="CN82" s="81"/>
      <c r="CO82" s="81"/>
      <c r="CP82" s="81"/>
      <c r="CQ82" s="81"/>
      <c r="CR82" s="81"/>
      <c r="CS82" s="81"/>
      <c r="CT82" s="81"/>
      <c r="CU82" s="81"/>
      <c r="CV82" s="81"/>
      <c r="CW82" s="81"/>
      <c r="CX82" s="81"/>
      <c r="CY82" s="81"/>
      <c r="CZ82" s="81"/>
      <c r="DA82" s="81"/>
      <c r="DB82" s="81"/>
      <c r="DC82" s="81"/>
      <c r="DD82" s="81"/>
      <c r="DE82" s="81"/>
      <c r="DF82" s="81"/>
      <c r="DG82" s="81"/>
      <c r="DH82" s="81"/>
      <c r="DI82" s="81"/>
      <c r="DJ82" s="81"/>
      <c r="DK82" s="81"/>
      <c r="DL82" s="81"/>
      <c r="DM82" s="81"/>
      <c r="DN82" s="81"/>
      <c r="DO82" s="81"/>
      <c r="DP82" s="81"/>
      <c r="DQ82" s="81"/>
      <c r="DR82" s="81"/>
      <c r="DS82" s="81"/>
      <c r="DT82" s="81"/>
      <c r="DU82" s="81"/>
      <c r="DV82" s="81"/>
      <c r="DW82" s="81"/>
      <c r="DX82" s="81"/>
      <c r="DY82" s="81"/>
      <c r="DZ82" s="81"/>
      <c r="EA82" s="81"/>
    </row>
    <row r="83" spans="2:131" ht="17.100000000000001" customHeight="1">
      <c r="B83" s="156">
        <v>3</v>
      </c>
      <c r="C83" s="156" t="s">
        <v>655</v>
      </c>
      <c r="D83" s="157"/>
      <c r="E83" s="158"/>
      <c r="F83" s="158" t="s">
        <v>964</v>
      </c>
      <c r="G83" s="158"/>
      <c r="H83" s="159"/>
      <c r="I83" s="118" t="str">
        <f t="shared" ref="I83:U83" si="65">IF(COUNTIF(I84:I85,"●")&gt;0,"●","")</f>
        <v>●</v>
      </c>
      <c r="J83" s="91" t="str">
        <f t="shared" si="65"/>
        <v>●</v>
      </c>
      <c r="K83" s="91" t="str">
        <f t="shared" si="65"/>
        <v/>
      </c>
      <c r="L83" s="118" t="str">
        <f t="shared" si="65"/>
        <v/>
      </c>
      <c r="M83" s="91" t="str">
        <f t="shared" si="65"/>
        <v>●</v>
      </c>
      <c r="N83" s="144" t="str">
        <f t="shared" si="65"/>
        <v/>
      </c>
      <c r="O83" s="144" t="str">
        <f t="shared" si="65"/>
        <v/>
      </c>
      <c r="P83" s="144" t="str">
        <f t="shared" si="65"/>
        <v/>
      </c>
      <c r="Q83" s="144" t="str">
        <f t="shared" si="65"/>
        <v/>
      </c>
      <c r="R83" s="144" t="str">
        <f t="shared" si="65"/>
        <v/>
      </c>
      <c r="S83" s="144" t="str">
        <f t="shared" si="65"/>
        <v/>
      </c>
      <c r="T83" s="144" t="str">
        <f t="shared" si="65"/>
        <v/>
      </c>
      <c r="U83" s="144" t="str">
        <f t="shared" si="65"/>
        <v/>
      </c>
      <c r="V83" s="96">
        <f>IF(MIN(V84:V85)=0,"",MIN(V84:V85))</f>
        <v>45180</v>
      </c>
      <c r="W83" s="97">
        <f ca="1">IF(AND(V83="",X83="")=TRUE,"",IF(AND(V83&gt;0,X83="")=TRUE,NETWORKDAYS(V83,TODAY(),Holidays),NETWORKDAYS(V83,X83,Holidays)))</f>
        <v>11</v>
      </c>
      <c r="X83" s="138">
        <f>IF(MAX(X84:X85)=0,"",MAX(X84:X85))</f>
        <v>45194</v>
      </c>
      <c r="Y83" s="96">
        <f>IF(MIN(Y84:Y85)=0,"",MIN(Y84:Y85))</f>
        <v>45177</v>
      </c>
      <c r="Z83" s="97">
        <f ca="1">IF(AND(Y83="",AA83="")=TRUE,"",IF(AND(Y83&gt;0,AA83="")=TRUE,NETWORKDAYS(Y83,TODAY(),Holidays),NETWORKDAYS(Y83,AA83,Holidays)))</f>
        <v>12</v>
      </c>
      <c r="AA83" s="98">
        <f>IF(MAX(AA84:AA85)=0,"",MAX(AA84:AA85))</f>
        <v>45194</v>
      </c>
      <c r="AB83" s="99">
        <f>IFERROR(AVERAGE(AB84:AB85),"")</f>
        <v>1</v>
      </c>
      <c r="AC83" s="100" t="str">
        <f>IF(AB83=100%,"Completed",IF(AND(AB83&lt;100%,AB83&gt;0%)=TRUE,"In-Progress","Open"))</f>
        <v>Completed</v>
      </c>
      <c r="AD83" s="154"/>
      <c r="AE83" s="160">
        <v>45183</v>
      </c>
      <c r="AF83" s="161"/>
      <c r="AG83" s="161"/>
      <c r="AH83" s="161"/>
      <c r="AI83" s="161"/>
      <c r="AJ83" s="161"/>
      <c r="AK83" s="161"/>
      <c r="AL83" s="161"/>
      <c r="AM83" s="161"/>
      <c r="AN83" s="161"/>
      <c r="AO83" s="161"/>
      <c r="AP83" s="161"/>
      <c r="AQ83" s="161"/>
      <c r="AR83" s="161"/>
      <c r="AS83" s="161"/>
      <c r="AT83" s="161"/>
      <c r="AU83" s="161"/>
      <c r="AV83" s="161"/>
      <c r="AW83" s="161"/>
      <c r="AX83" s="161"/>
      <c r="AY83" s="161"/>
      <c r="AZ83" s="161"/>
      <c r="BA83" s="161"/>
      <c r="BB83" s="161"/>
      <c r="BC83" s="161"/>
      <c r="BD83" s="161"/>
      <c r="BE83" s="161"/>
      <c r="BF83" s="161"/>
      <c r="BG83" s="161"/>
      <c r="BH83" s="161"/>
      <c r="BI83" s="161"/>
      <c r="BJ83" s="161"/>
      <c r="BK83" s="161"/>
      <c r="BL83" s="161"/>
      <c r="BM83" s="161"/>
      <c r="BN83" s="161"/>
      <c r="BO83" s="161"/>
      <c r="BP83" s="161"/>
      <c r="BQ83" s="161"/>
      <c r="BR83" s="161"/>
      <c r="BS83" s="161"/>
      <c r="BT83" s="161"/>
      <c r="BU83" s="161"/>
      <c r="BV83" s="161"/>
      <c r="BW83" s="161"/>
      <c r="BX83" s="161"/>
      <c r="BY83" s="161"/>
      <c r="BZ83" s="161"/>
      <c r="CA83" s="161"/>
      <c r="CB83" s="161"/>
      <c r="CC83" s="161"/>
      <c r="CD83" s="161"/>
      <c r="CE83" s="161"/>
      <c r="CF83" s="161"/>
      <c r="CG83" s="161"/>
      <c r="CH83" s="161"/>
      <c r="CI83" s="161"/>
      <c r="CJ83" s="161"/>
      <c r="CK83" s="161"/>
      <c r="CL83" s="161"/>
      <c r="CM83" s="161"/>
      <c r="CN83" s="161"/>
      <c r="CO83" s="161"/>
      <c r="CP83" s="161"/>
      <c r="CQ83" s="161"/>
      <c r="CR83" s="161"/>
      <c r="CS83" s="161"/>
      <c r="CT83" s="161"/>
      <c r="CU83" s="161"/>
      <c r="CV83" s="161"/>
      <c r="CW83" s="161"/>
      <c r="CX83" s="161"/>
      <c r="CY83" s="161"/>
      <c r="CZ83" s="161"/>
      <c r="DA83" s="161"/>
      <c r="DB83" s="161"/>
      <c r="DC83" s="161"/>
      <c r="DD83" s="161"/>
      <c r="DE83" s="161"/>
      <c r="DF83" s="161"/>
      <c r="DG83" s="161"/>
      <c r="DH83" s="161"/>
      <c r="DI83" s="161"/>
      <c r="DJ83" s="161"/>
      <c r="DK83" s="161"/>
      <c r="DL83" s="161"/>
      <c r="DM83" s="161"/>
      <c r="DN83" s="161"/>
      <c r="DO83" s="161"/>
      <c r="DP83" s="161"/>
      <c r="DQ83" s="161"/>
      <c r="DR83" s="161"/>
      <c r="DS83" s="161"/>
      <c r="DT83" s="161"/>
      <c r="DU83" s="161"/>
      <c r="DV83" s="161"/>
      <c r="DW83" s="161"/>
      <c r="DX83" s="161"/>
      <c r="DY83" s="161"/>
      <c r="DZ83" s="161"/>
      <c r="EA83" s="161"/>
    </row>
    <row r="84" spans="2:131" ht="17.100000000000001" customHeight="1">
      <c r="B84" s="162">
        <v>4</v>
      </c>
      <c r="C84" s="162" t="s">
        <v>658</v>
      </c>
      <c r="D84" s="163"/>
      <c r="E84" s="164"/>
      <c r="F84" s="164"/>
      <c r="G84" s="164" t="s">
        <v>965</v>
      </c>
      <c r="H84" s="165"/>
      <c r="I84" s="145" t="s">
        <v>836</v>
      </c>
      <c r="J84" s="145" t="s">
        <v>836</v>
      </c>
      <c r="K84" s="61"/>
      <c r="L84" s="123"/>
      <c r="M84" s="145" t="s">
        <v>836</v>
      </c>
      <c r="N84" s="145"/>
      <c r="O84" s="61"/>
      <c r="P84" s="61"/>
      <c r="Q84" s="61"/>
      <c r="R84" s="61"/>
      <c r="S84" s="61"/>
      <c r="T84" s="61"/>
      <c r="U84" s="63"/>
      <c r="V84" s="64">
        <v>45180</v>
      </c>
      <c r="W84" s="61">
        <v>10</v>
      </c>
      <c r="X84" s="140">
        <f>IF(AND(V84="",W84="")=TRUE,"",WORKDAY(V84,W84-1,Holidays))</f>
        <v>45191</v>
      </c>
      <c r="Y84" s="64">
        <v>45177</v>
      </c>
      <c r="Z84" s="126">
        <f ca="1">IF(AND(Y84="",AA84="")=TRUE,"",IF(AND(Y84&gt;0,AA84="")=TRUE,NETWORKDAYS(Y84,TODAY(),Holidays),NETWORKDAYS(Y84,AA84,Holidays)))</f>
        <v>10</v>
      </c>
      <c r="AA84" s="65">
        <v>45190</v>
      </c>
      <c r="AB84" s="66">
        <v>1</v>
      </c>
      <c r="AC84" s="125" t="str">
        <f>IF(AB84=100%,"Completed",IF(AND(AB84&lt;100%,AB84&gt;0%)=TRUE,"In-Progress","Open"))</f>
        <v>Completed</v>
      </c>
      <c r="AD84" s="152"/>
      <c r="AE84" s="160">
        <v>45184</v>
      </c>
      <c r="AF84" s="161"/>
      <c r="AG84" s="161"/>
      <c r="AH84" s="161"/>
      <c r="AI84" s="161"/>
      <c r="AJ84" s="161"/>
      <c r="AK84" s="161"/>
      <c r="AL84" s="161"/>
      <c r="AM84" s="161"/>
      <c r="AN84" s="161"/>
      <c r="AO84" s="161"/>
      <c r="AP84" s="161"/>
      <c r="AQ84" s="161"/>
      <c r="AR84" s="161"/>
      <c r="AS84" s="161"/>
      <c r="AT84" s="161"/>
      <c r="AU84" s="161"/>
      <c r="AV84" s="161"/>
      <c r="AW84" s="161"/>
      <c r="AX84" s="161"/>
      <c r="AY84" s="161"/>
      <c r="AZ84" s="161"/>
      <c r="BA84" s="161"/>
      <c r="BB84" s="161"/>
      <c r="BC84" s="161"/>
      <c r="BD84" s="161"/>
      <c r="BE84" s="161"/>
      <c r="BF84" s="161"/>
      <c r="BG84" s="161"/>
      <c r="BH84" s="161"/>
      <c r="BI84" s="161"/>
      <c r="BJ84" s="161"/>
      <c r="BK84" s="161"/>
      <c r="BL84" s="161"/>
      <c r="BM84" s="161"/>
      <c r="BN84" s="161"/>
      <c r="BO84" s="161"/>
      <c r="BP84" s="161"/>
      <c r="BQ84" s="161"/>
      <c r="BR84" s="161"/>
      <c r="BS84" s="161"/>
      <c r="BT84" s="161"/>
      <c r="BU84" s="161"/>
      <c r="BV84" s="161"/>
      <c r="BW84" s="161"/>
      <c r="BX84" s="161"/>
      <c r="BY84" s="161"/>
      <c r="BZ84" s="161"/>
      <c r="CA84" s="161"/>
      <c r="CB84" s="161"/>
      <c r="CC84" s="161"/>
      <c r="CD84" s="161"/>
      <c r="CE84" s="161"/>
      <c r="CF84" s="161"/>
      <c r="CG84" s="161"/>
      <c r="CH84" s="161"/>
      <c r="CI84" s="161"/>
      <c r="CJ84" s="161"/>
      <c r="CK84" s="161"/>
      <c r="CL84" s="161"/>
      <c r="CM84" s="161"/>
      <c r="CN84" s="161"/>
      <c r="CO84" s="161"/>
      <c r="CP84" s="161"/>
      <c r="CQ84" s="161"/>
      <c r="CR84" s="161"/>
      <c r="CS84" s="161"/>
      <c r="CT84" s="161"/>
      <c r="CU84" s="161"/>
      <c r="CV84" s="161"/>
      <c r="CW84" s="161"/>
      <c r="CX84" s="161"/>
      <c r="CY84" s="161"/>
      <c r="CZ84" s="161"/>
      <c r="DA84" s="161"/>
      <c r="DB84" s="161"/>
      <c r="DC84" s="161"/>
      <c r="DD84" s="161"/>
      <c r="DE84" s="161"/>
      <c r="DF84" s="161"/>
      <c r="DG84" s="161"/>
      <c r="DH84" s="161"/>
      <c r="DI84" s="161"/>
      <c r="DJ84" s="161"/>
      <c r="DK84" s="161"/>
      <c r="DL84" s="161"/>
      <c r="DM84" s="161"/>
      <c r="DN84" s="161"/>
      <c r="DO84" s="161"/>
      <c r="DP84" s="161"/>
      <c r="DQ84" s="161"/>
      <c r="DR84" s="161"/>
      <c r="DS84" s="161"/>
      <c r="DT84" s="161"/>
      <c r="DU84" s="161"/>
      <c r="DV84" s="161"/>
      <c r="DW84" s="161"/>
      <c r="DX84" s="161"/>
      <c r="DY84" s="161"/>
      <c r="DZ84" s="161"/>
      <c r="EA84" s="161"/>
    </row>
    <row r="85" spans="2:131" ht="16.5" customHeight="1">
      <c r="B85" s="162">
        <v>4</v>
      </c>
      <c r="C85" s="162" t="s">
        <v>658</v>
      </c>
      <c r="D85" s="163"/>
      <c r="E85" s="164"/>
      <c r="F85" s="164"/>
      <c r="G85" s="164" t="s">
        <v>966</v>
      </c>
      <c r="H85" s="165"/>
      <c r="I85" s="145" t="s">
        <v>836</v>
      </c>
      <c r="J85" s="145" t="s">
        <v>836</v>
      </c>
      <c r="K85" s="61"/>
      <c r="L85" s="123"/>
      <c r="M85" s="145" t="s">
        <v>836</v>
      </c>
      <c r="N85" s="145"/>
      <c r="O85" s="61"/>
      <c r="P85" s="61"/>
      <c r="Q85" s="61"/>
      <c r="R85" s="61"/>
      <c r="S85" s="61"/>
      <c r="T85" s="61"/>
      <c r="U85" s="63"/>
      <c r="V85" s="64">
        <v>45191</v>
      </c>
      <c r="W85" s="61">
        <v>2</v>
      </c>
      <c r="X85" s="140">
        <f>IF(AND(V85="",W85="")=TRUE,"",WORKDAY(V85,W85-1,Holidays))</f>
        <v>45194</v>
      </c>
      <c r="Y85" s="64">
        <v>45191</v>
      </c>
      <c r="Z85" s="126">
        <f ca="1">IF(AND(Y85="",AA85="")=TRUE,"",IF(AND(Y85&gt;0,AA85="")=TRUE,NETWORKDAYS(Y85,TODAY(),Holidays),NETWORKDAYS(Y85,AA85,Holidays)))</f>
        <v>2</v>
      </c>
      <c r="AA85" s="65">
        <v>45194</v>
      </c>
      <c r="AB85" s="66">
        <v>1</v>
      </c>
      <c r="AC85" s="125" t="str">
        <f>IF(AB85=100%,"Completed",IF(AND(AB85&lt;100%,AB85&gt;0%)=TRUE,"In-Progress","Open"))</f>
        <v>Completed</v>
      </c>
      <c r="AD85" s="152"/>
      <c r="AE85" s="160">
        <v>45187</v>
      </c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  <c r="BS85" s="161"/>
      <c r="BT85" s="161"/>
      <c r="BU85" s="161"/>
      <c r="BV85" s="161"/>
      <c r="BW85" s="161"/>
      <c r="BX85" s="161"/>
      <c r="BY85" s="161"/>
      <c r="BZ85" s="161"/>
      <c r="CA85" s="161"/>
      <c r="CB85" s="161"/>
      <c r="CC85" s="161"/>
      <c r="CD85" s="161"/>
      <c r="CE85" s="161"/>
      <c r="CF85" s="161"/>
      <c r="CG85" s="161"/>
      <c r="CH85" s="161"/>
      <c r="CI85" s="161"/>
      <c r="CJ85" s="161"/>
      <c r="CK85" s="161"/>
      <c r="CL85" s="161"/>
      <c r="CM85" s="161"/>
      <c r="CN85" s="161"/>
      <c r="CO85" s="161"/>
      <c r="CP85" s="161"/>
      <c r="CQ85" s="161"/>
      <c r="CR85" s="161"/>
      <c r="CS85" s="161"/>
      <c r="CT85" s="161"/>
      <c r="CU85" s="161"/>
      <c r="CV85" s="161"/>
      <c r="CW85" s="161"/>
      <c r="CX85" s="161"/>
      <c r="CY85" s="161"/>
      <c r="CZ85" s="161"/>
      <c r="DA85" s="161"/>
      <c r="DB85" s="161"/>
      <c r="DC85" s="161"/>
      <c r="DD85" s="161"/>
      <c r="DE85" s="161"/>
      <c r="DF85" s="161"/>
      <c r="DG85" s="161"/>
      <c r="DH85" s="161"/>
      <c r="DI85" s="161"/>
      <c r="DJ85" s="161"/>
      <c r="DK85" s="161"/>
      <c r="DL85" s="161"/>
      <c r="DM85" s="161"/>
      <c r="DN85" s="161"/>
      <c r="DO85" s="161"/>
      <c r="DP85" s="161"/>
      <c r="DQ85" s="161"/>
      <c r="DR85" s="161"/>
      <c r="DS85" s="161"/>
      <c r="DT85" s="161"/>
      <c r="DU85" s="161"/>
      <c r="DV85" s="161"/>
      <c r="DW85" s="161"/>
      <c r="DX85" s="161"/>
      <c r="DY85" s="161"/>
      <c r="DZ85" s="161"/>
      <c r="EA85" s="161"/>
    </row>
    <row r="86" spans="2:131" ht="17.100000000000001" customHeight="1">
      <c r="B86" s="83">
        <v>1</v>
      </c>
      <c r="C86" s="83" t="s">
        <v>655</v>
      </c>
      <c r="D86" s="141" t="s">
        <v>967</v>
      </c>
      <c r="E86" s="142"/>
      <c r="F86" s="142"/>
      <c r="G86" s="142"/>
      <c r="H86" s="143"/>
      <c r="I86" s="117" t="str">
        <f t="shared" ref="I86:U86" si="66">IF(COUNTIF(I87:I92,"●")&gt;0,"●","")</f>
        <v/>
      </c>
      <c r="J86" s="82" t="str">
        <f t="shared" si="66"/>
        <v/>
      </c>
      <c r="K86" s="82" t="str">
        <f t="shared" si="66"/>
        <v/>
      </c>
      <c r="L86" s="117" t="str">
        <f t="shared" si="66"/>
        <v/>
      </c>
      <c r="M86" s="82" t="str">
        <f t="shared" si="66"/>
        <v>●</v>
      </c>
      <c r="N86" s="146" t="str">
        <f t="shared" si="66"/>
        <v>●</v>
      </c>
      <c r="O86" s="146" t="str">
        <f t="shared" si="66"/>
        <v/>
      </c>
      <c r="P86" s="146" t="str">
        <f t="shared" si="66"/>
        <v/>
      </c>
      <c r="Q86" s="146" t="str">
        <f t="shared" si="66"/>
        <v/>
      </c>
      <c r="R86" s="146" t="str">
        <f t="shared" si="66"/>
        <v/>
      </c>
      <c r="S86" s="146" t="str">
        <f t="shared" si="66"/>
        <v/>
      </c>
      <c r="T86" s="146" t="str">
        <f t="shared" si="66"/>
        <v/>
      </c>
      <c r="U86" s="146" t="str">
        <f t="shared" si="66"/>
        <v/>
      </c>
      <c r="V86" s="85">
        <f>IF(MIN(V87:V92)=0,"",MIN(V87:V92))</f>
        <v>45152</v>
      </c>
      <c r="W86" s="86">
        <f ca="1">IF(AND(V86="",X86="")=TRUE,"",IF(AND(V86&gt;0,X86="")=TRUE,NETWORKDAYS(V86,TODAY(),Holidays),NETWORKDAYS(V86,X86,Holidays)))</f>
        <v>19</v>
      </c>
      <c r="X86" s="87">
        <f>IF(MAX(X87:X92)=0,"",MAX(X87:X92))</f>
        <v>45177</v>
      </c>
      <c r="Y86" s="85">
        <f>IF(MIN(Y87:Y92)=0,"",MIN(Y87:Y151))</f>
        <v>45124</v>
      </c>
      <c r="Z86" s="86">
        <f t="shared" ref="Z86:Z89" ca="1" si="67">IF(AND(Y86="",AA86="")=TRUE,"",IF(AND(Y86&gt;0,AA86="")=TRUE,NETWORKDAYS(Y86,TODAY(),Holidays),NETWORKDAYS(Y86,AA86,Holidays)))</f>
        <v>33</v>
      </c>
      <c r="AA86" s="87">
        <f>IF(MAX(AA87:AA92)=0,"",MAX(AA87:AA92))</f>
        <v>45169</v>
      </c>
      <c r="AB86" s="88">
        <f>IFERROR(AVERAGE(AB87),"")</f>
        <v>1</v>
      </c>
      <c r="AC86" s="89" t="str">
        <f t="shared" si="58"/>
        <v>Completed</v>
      </c>
      <c r="AD86" s="153"/>
      <c r="AE86" s="80">
        <v>45188</v>
      </c>
      <c r="AF86" s="81"/>
      <c r="AG86" s="81"/>
      <c r="AH86" s="81"/>
      <c r="AI86" s="81"/>
      <c r="AJ86" s="81"/>
      <c r="AK86" s="81"/>
      <c r="AL86" s="81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  <c r="BA86" s="81"/>
      <c r="BB86" s="81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81"/>
      <c r="CF86" s="81"/>
      <c r="CG86" s="81"/>
      <c r="CH86" s="81"/>
      <c r="CI86" s="81"/>
      <c r="CJ86" s="81"/>
      <c r="CK86" s="81"/>
      <c r="CL86" s="81"/>
      <c r="CM86" s="81"/>
      <c r="CN86" s="81"/>
      <c r="CO86" s="81"/>
      <c r="CP86" s="81"/>
      <c r="CQ86" s="81"/>
      <c r="CR86" s="81"/>
      <c r="CS86" s="81"/>
      <c r="CT86" s="81"/>
      <c r="CU86" s="81"/>
      <c r="CV86" s="81"/>
      <c r="CW86" s="81"/>
      <c r="CX86" s="81"/>
      <c r="CY86" s="81"/>
      <c r="CZ86" s="81"/>
      <c r="DA86" s="81"/>
      <c r="DB86" s="81"/>
      <c r="DC86" s="81"/>
      <c r="DD86" s="81"/>
      <c r="DE86" s="81"/>
      <c r="DF86" s="81"/>
      <c r="DG86" s="81"/>
      <c r="DH86" s="81"/>
      <c r="DI86" s="81"/>
      <c r="DJ86" s="81"/>
      <c r="DK86" s="81"/>
      <c r="DL86" s="81"/>
      <c r="DM86" s="81"/>
      <c r="DN86" s="81"/>
      <c r="DO86" s="81"/>
      <c r="DP86" s="81"/>
      <c r="DQ86" s="81"/>
      <c r="DR86" s="81"/>
      <c r="DS86" s="81"/>
      <c r="DT86" s="81"/>
      <c r="DU86" s="81"/>
      <c r="DV86" s="81"/>
      <c r="DW86" s="81"/>
      <c r="DX86" s="81"/>
      <c r="DY86" s="81"/>
      <c r="DZ86" s="81"/>
      <c r="EA86" s="81"/>
    </row>
    <row r="87" spans="2:131" ht="17.100000000000001" customHeight="1">
      <c r="B87" s="92">
        <v>2</v>
      </c>
      <c r="C87" s="92" t="s">
        <v>655</v>
      </c>
      <c r="D87" s="93"/>
      <c r="E87" s="94" t="s">
        <v>968</v>
      </c>
      <c r="F87" s="94"/>
      <c r="G87" s="94"/>
      <c r="H87" s="95"/>
      <c r="I87" s="118" t="str">
        <f t="shared" ref="I87:U87" si="68">IF(COUNTIF(I88:I92,"●")&gt;0,"●","")</f>
        <v/>
      </c>
      <c r="J87" s="91" t="str">
        <f t="shared" si="68"/>
        <v/>
      </c>
      <c r="K87" s="91" t="str">
        <f t="shared" si="68"/>
        <v/>
      </c>
      <c r="L87" s="118" t="str">
        <f t="shared" si="68"/>
        <v/>
      </c>
      <c r="M87" s="91" t="str">
        <f t="shared" si="68"/>
        <v>●</v>
      </c>
      <c r="N87" s="144" t="str">
        <f t="shared" si="68"/>
        <v>●</v>
      </c>
      <c r="O87" s="144" t="str">
        <f t="shared" si="68"/>
        <v/>
      </c>
      <c r="P87" s="144" t="str">
        <f t="shared" si="68"/>
        <v/>
      </c>
      <c r="Q87" s="144" t="str">
        <f t="shared" si="68"/>
        <v/>
      </c>
      <c r="R87" s="144" t="str">
        <f t="shared" si="68"/>
        <v/>
      </c>
      <c r="S87" s="144" t="str">
        <f t="shared" si="68"/>
        <v/>
      </c>
      <c r="T87" s="144" t="str">
        <f t="shared" si="68"/>
        <v/>
      </c>
      <c r="U87" s="144" t="str">
        <f t="shared" si="68"/>
        <v/>
      </c>
      <c r="V87" s="96">
        <f>IF(MIN(V88:V92)=0,"",MIN(V88:V92))</f>
        <v>45152</v>
      </c>
      <c r="W87" s="97">
        <f ca="1">IF(AND(V87="",X87="")=TRUE,"",IF(AND(V87&gt;0,X87="")=TRUE,NETWORKDAYS(V87,TODAY(),Holidays),NETWORKDAYS(V87,X87,Holidays)))</f>
        <v>19</v>
      </c>
      <c r="X87" s="139">
        <f>IF(MAX(X88:X92)=0,"",MAX(X88:X92))</f>
        <v>45177</v>
      </c>
      <c r="Y87" s="96">
        <f>IF(MIN(Y88:Y92)=0,"",MIN(Y88:Y92))</f>
        <v>45159</v>
      </c>
      <c r="Z87" s="97">
        <f t="shared" ca="1" si="67"/>
        <v>9</v>
      </c>
      <c r="AA87" s="98">
        <f>IF(MAX(AA88:AA92)=0,"",MAX(AA88:AA92))</f>
        <v>45169</v>
      </c>
      <c r="AB87" s="99">
        <f>IFERROR(AVERAGE(AB88),"")</f>
        <v>1</v>
      </c>
      <c r="AC87" s="100" t="str">
        <f t="shared" si="58"/>
        <v>Completed</v>
      </c>
      <c r="AD87" s="154"/>
      <c r="AE87" s="80">
        <v>45189</v>
      </c>
      <c r="AF87" s="81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  <c r="BA87" s="81"/>
      <c r="BB87" s="81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81"/>
      <c r="CF87" s="81"/>
      <c r="CG87" s="81"/>
      <c r="CH87" s="81"/>
      <c r="CI87" s="81"/>
      <c r="CJ87" s="81"/>
      <c r="CK87" s="81"/>
      <c r="CL87" s="81"/>
      <c r="CM87" s="81"/>
      <c r="CN87" s="81"/>
      <c r="CO87" s="81"/>
      <c r="CP87" s="81"/>
      <c r="CQ87" s="81"/>
      <c r="CR87" s="81"/>
      <c r="CS87" s="81"/>
      <c r="CT87" s="81"/>
      <c r="CU87" s="81"/>
      <c r="CV87" s="81"/>
      <c r="CW87" s="81"/>
      <c r="CX87" s="81"/>
      <c r="CY87" s="81"/>
      <c r="CZ87" s="81"/>
      <c r="DA87" s="81"/>
      <c r="DB87" s="81"/>
      <c r="DC87" s="81"/>
      <c r="DD87" s="81"/>
      <c r="DE87" s="81"/>
      <c r="DF87" s="81"/>
      <c r="DG87" s="81"/>
      <c r="DH87" s="81"/>
      <c r="DI87" s="81"/>
      <c r="DJ87" s="81"/>
      <c r="DK87" s="81"/>
      <c r="DL87" s="81"/>
      <c r="DM87" s="81"/>
      <c r="DN87" s="81"/>
      <c r="DO87" s="81"/>
      <c r="DP87" s="81"/>
      <c r="DQ87" s="81"/>
      <c r="DR87" s="81"/>
      <c r="DS87" s="81"/>
      <c r="DT87" s="81"/>
      <c r="DU87" s="81"/>
      <c r="DV87" s="81"/>
      <c r="DW87" s="81"/>
      <c r="DX87" s="81"/>
      <c r="DY87" s="81"/>
      <c r="DZ87" s="81"/>
      <c r="EA87" s="81"/>
    </row>
    <row r="88" spans="2:131" ht="17.100000000000001" customHeight="1">
      <c r="B88" s="92">
        <v>3</v>
      </c>
      <c r="C88" s="92" t="s">
        <v>655</v>
      </c>
      <c r="D88" s="93"/>
      <c r="E88" s="94"/>
      <c r="F88" s="94" t="s">
        <v>969</v>
      </c>
      <c r="G88" s="94"/>
      <c r="H88" s="95"/>
      <c r="I88" s="118" t="str">
        <f>IF(COUNTIF(I89:I92,"●")&gt;0,"●","")</f>
        <v/>
      </c>
      <c r="J88" s="91" t="str">
        <f t="shared" ref="J88:K88" si="69">IF(COUNTIF(J89:J92,"●")&gt;0,"●","")</f>
        <v/>
      </c>
      <c r="K88" s="91" t="str">
        <f t="shared" si="69"/>
        <v/>
      </c>
      <c r="L88" s="118" t="str">
        <f>IF(COUNTIF(L89:L92,"●")&gt;0,"●","")</f>
        <v/>
      </c>
      <c r="M88" s="91" t="str">
        <f t="shared" ref="M88:U88" si="70">IF(COUNTIF(M89:M92,"●")&gt;0,"●","")</f>
        <v>●</v>
      </c>
      <c r="N88" s="144" t="str">
        <f t="shared" si="70"/>
        <v>●</v>
      </c>
      <c r="O88" s="144" t="str">
        <f t="shared" si="70"/>
        <v/>
      </c>
      <c r="P88" s="144" t="str">
        <f t="shared" ref="P88" si="71">IF(COUNTIF(P89:P92,"●")&gt;0,"●","")</f>
        <v/>
      </c>
      <c r="Q88" s="144" t="str">
        <f t="shared" si="70"/>
        <v/>
      </c>
      <c r="R88" s="144" t="str">
        <f t="shared" si="70"/>
        <v/>
      </c>
      <c r="S88" s="144" t="str">
        <f t="shared" si="70"/>
        <v/>
      </c>
      <c r="T88" s="144" t="str">
        <f t="shared" si="70"/>
        <v/>
      </c>
      <c r="U88" s="144" t="str">
        <f t="shared" si="70"/>
        <v/>
      </c>
      <c r="V88" s="96">
        <f>IF(MIN(V89:V92)=0,"",MIN(V89:V92))</f>
        <v>45152</v>
      </c>
      <c r="W88" s="97">
        <f ca="1">IF(AND(V88="",X88="")=TRUE,"",IF(AND(V88&gt;0,X88="")=TRUE,NETWORKDAYS(V88,TODAY(),Holidays),NETWORKDAYS(V88,X88,Holidays)))</f>
        <v>19</v>
      </c>
      <c r="X88" s="138">
        <f>IF(MAX(X89:X92)=0,"",MAX(X89:X92))</f>
        <v>45177</v>
      </c>
      <c r="Y88" s="96">
        <f>IF(MIN(Y89:Y92)=0,"",MIN(Y89:Y92))</f>
        <v>45159</v>
      </c>
      <c r="Z88" s="97">
        <f t="shared" ca="1" si="67"/>
        <v>9</v>
      </c>
      <c r="AA88" s="98">
        <f>IF(MAX(AA89:AA92)=0,"",MAX(AA89:AA92))</f>
        <v>45169</v>
      </c>
      <c r="AB88" s="99">
        <f>IFERROR(AVERAGE(AB89:AB92),"")</f>
        <v>1</v>
      </c>
      <c r="AC88" s="100" t="str">
        <f t="shared" si="58"/>
        <v>Completed</v>
      </c>
      <c r="AD88" s="154"/>
      <c r="AE88" s="80">
        <v>45190</v>
      </c>
      <c r="AF88" s="81"/>
      <c r="AG88" s="81"/>
      <c r="AH88" s="81"/>
      <c r="AI88" s="81"/>
      <c r="AJ88" s="81"/>
      <c r="AK88" s="81"/>
      <c r="AL88" s="81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  <c r="BA88" s="81"/>
      <c r="BB88" s="81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81"/>
      <c r="CF88" s="81"/>
      <c r="CG88" s="81"/>
      <c r="CH88" s="81"/>
      <c r="CI88" s="81"/>
      <c r="CJ88" s="81"/>
      <c r="CK88" s="81"/>
      <c r="CL88" s="81"/>
      <c r="CM88" s="81"/>
      <c r="CN88" s="81"/>
      <c r="CO88" s="81"/>
      <c r="CP88" s="81"/>
      <c r="CQ88" s="81"/>
      <c r="CR88" s="81"/>
      <c r="CS88" s="81"/>
      <c r="CT88" s="81"/>
      <c r="CU88" s="81"/>
      <c r="CV88" s="81"/>
      <c r="CW88" s="81"/>
      <c r="CX88" s="81"/>
      <c r="CY88" s="81"/>
      <c r="CZ88" s="81"/>
      <c r="DA88" s="81"/>
      <c r="DB88" s="81"/>
      <c r="DC88" s="81"/>
      <c r="DD88" s="81"/>
      <c r="DE88" s="81"/>
      <c r="DF88" s="81"/>
      <c r="DG88" s="81"/>
      <c r="DH88" s="81"/>
      <c r="DI88" s="81"/>
      <c r="DJ88" s="81"/>
      <c r="DK88" s="81"/>
      <c r="DL88" s="81"/>
      <c r="DM88" s="81"/>
      <c r="DN88" s="81"/>
      <c r="DO88" s="81"/>
      <c r="DP88" s="81"/>
      <c r="DQ88" s="81"/>
      <c r="DR88" s="81"/>
      <c r="DS88" s="81"/>
      <c r="DT88" s="81"/>
      <c r="DU88" s="81"/>
      <c r="DV88" s="81"/>
      <c r="DW88" s="81"/>
      <c r="DX88" s="81"/>
      <c r="DY88" s="81"/>
      <c r="DZ88" s="81"/>
      <c r="EA88" s="81"/>
    </row>
    <row r="89" spans="2:131" ht="17.100000000000001" customHeight="1">
      <c r="B89" s="58">
        <v>4</v>
      </c>
      <c r="C89" s="58" t="s">
        <v>658</v>
      </c>
      <c r="D89" s="59"/>
      <c r="E89" s="60"/>
      <c r="F89" s="60"/>
      <c r="G89" s="60" t="s">
        <v>970</v>
      </c>
      <c r="H89" s="62"/>
      <c r="I89" s="123"/>
      <c r="J89" s="61"/>
      <c r="K89" s="61"/>
      <c r="L89" s="123"/>
      <c r="M89" s="145" t="s">
        <v>836</v>
      </c>
      <c r="N89" s="145" t="s">
        <v>836</v>
      </c>
      <c r="O89" s="145"/>
      <c r="P89" s="145"/>
      <c r="Q89" s="61"/>
      <c r="R89" s="61"/>
      <c r="S89" s="61"/>
      <c r="T89" s="61"/>
      <c r="U89" s="63"/>
      <c r="V89" s="64">
        <v>45152</v>
      </c>
      <c r="W89" s="61">
        <v>2</v>
      </c>
      <c r="X89" s="140">
        <f t="shared" ref="X89:X90" si="72">IF(AND(V89="",W89="")=TRUE,"",WORKDAY(V89,W89-1,Holidays))</f>
        <v>45154</v>
      </c>
      <c r="Y89" s="64">
        <v>45159</v>
      </c>
      <c r="Z89" s="126">
        <f t="shared" ca="1" si="67"/>
        <v>2</v>
      </c>
      <c r="AA89" s="65">
        <v>45160</v>
      </c>
      <c r="AB89" s="66">
        <v>1</v>
      </c>
      <c r="AC89" s="125" t="str">
        <f t="shared" si="58"/>
        <v>Completed</v>
      </c>
      <c r="AD89" s="152"/>
      <c r="AE89" s="80">
        <v>45191</v>
      </c>
      <c r="AF89" s="81"/>
      <c r="AG89" s="81"/>
      <c r="AH89" s="81"/>
      <c r="AI89" s="81"/>
      <c r="AJ89" s="81"/>
      <c r="AK89" s="81"/>
      <c r="AL89" s="81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  <c r="BA89" s="81"/>
      <c r="BB89" s="81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81"/>
      <c r="CF89" s="81"/>
      <c r="CG89" s="81"/>
      <c r="CH89" s="81"/>
      <c r="CI89" s="81"/>
      <c r="CJ89" s="81"/>
      <c r="CK89" s="81"/>
      <c r="CL89" s="81"/>
      <c r="CM89" s="81"/>
      <c r="CN89" s="81"/>
      <c r="CO89" s="81"/>
      <c r="CP89" s="81"/>
      <c r="CQ89" s="81"/>
      <c r="CR89" s="81"/>
      <c r="CS89" s="81"/>
      <c r="CT89" s="81"/>
      <c r="CU89" s="81"/>
      <c r="CV89" s="81"/>
      <c r="CW89" s="81"/>
      <c r="CX89" s="81"/>
      <c r="CY89" s="81"/>
      <c r="CZ89" s="81"/>
      <c r="DA89" s="81"/>
      <c r="DB89" s="81"/>
      <c r="DC89" s="81"/>
      <c r="DD89" s="81"/>
      <c r="DE89" s="81"/>
      <c r="DF89" s="81"/>
      <c r="DG89" s="81"/>
      <c r="DH89" s="81"/>
      <c r="DI89" s="81"/>
      <c r="DJ89" s="81"/>
      <c r="DK89" s="81"/>
      <c r="DL89" s="81"/>
      <c r="DM89" s="81"/>
      <c r="DN89" s="81"/>
      <c r="DO89" s="81"/>
      <c r="DP89" s="81"/>
      <c r="DQ89" s="81"/>
      <c r="DR89" s="81"/>
      <c r="DS89" s="81"/>
      <c r="DT89" s="81"/>
      <c r="DU89" s="81"/>
      <c r="DV89" s="81"/>
      <c r="DW89" s="81"/>
      <c r="DX89" s="81"/>
      <c r="DY89" s="81"/>
      <c r="DZ89" s="81"/>
      <c r="EA89" s="81"/>
    </row>
    <row r="90" spans="2:131" ht="17.100000000000001" customHeight="1">
      <c r="B90" s="58">
        <v>4</v>
      </c>
      <c r="C90" s="58" t="s">
        <v>658</v>
      </c>
      <c r="D90" s="59"/>
      <c r="E90" s="60"/>
      <c r="F90" s="60"/>
      <c r="G90" s="60" t="s">
        <v>971</v>
      </c>
      <c r="H90" s="62"/>
      <c r="I90" s="123"/>
      <c r="J90" s="61"/>
      <c r="K90" s="61"/>
      <c r="L90" s="123"/>
      <c r="M90" s="145" t="s">
        <v>836</v>
      </c>
      <c r="N90" s="145" t="s">
        <v>836</v>
      </c>
      <c r="O90" s="145"/>
      <c r="P90" s="145"/>
      <c r="Q90" s="61"/>
      <c r="R90" s="61"/>
      <c r="S90" s="61"/>
      <c r="T90" s="61"/>
      <c r="U90" s="63"/>
      <c r="V90" s="64">
        <v>45167</v>
      </c>
      <c r="W90" s="61">
        <v>5</v>
      </c>
      <c r="X90" s="140">
        <f t="shared" si="72"/>
        <v>45173</v>
      </c>
      <c r="Y90" s="64">
        <v>45159</v>
      </c>
      <c r="Z90" s="126">
        <f t="shared" ref="Z90:Z91" ca="1" si="73">IF(AND(Y90="",AA90="")=TRUE,"",IF(AND(Y90&gt;0,AA90="")=TRUE,NETWORKDAYS(Y90,TODAY(),Holidays),NETWORKDAYS(Y90,AA90,Holidays)))</f>
        <v>3</v>
      </c>
      <c r="AA90" s="65">
        <v>45161</v>
      </c>
      <c r="AB90" s="66">
        <v>1</v>
      </c>
      <c r="AC90" s="125" t="str">
        <f t="shared" ref="AC90" si="74">IF(AB90=100%,"Completed",IF(AND(AB90&lt;100%,AB90&gt;0%)=TRUE,"In-Progress","Open"))</f>
        <v>Completed</v>
      </c>
      <c r="AD90" s="152"/>
      <c r="AE90" s="80">
        <v>45194</v>
      </c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81"/>
      <c r="CK90" s="81"/>
      <c r="CL90" s="81"/>
      <c r="CM90" s="81"/>
      <c r="CN90" s="81"/>
      <c r="CO90" s="81"/>
      <c r="CP90" s="81"/>
      <c r="CQ90" s="81"/>
      <c r="CR90" s="81"/>
      <c r="CS90" s="81"/>
      <c r="CT90" s="81"/>
      <c r="CU90" s="81"/>
      <c r="CV90" s="81"/>
      <c r="CW90" s="81"/>
      <c r="CX90" s="81"/>
      <c r="CY90" s="81"/>
      <c r="CZ90" s="81"/>
      <c r="DA90" s="81"/>
      <c r="DB90" s="81"/>
      <c r="DC90" s="81"/>
      <c r="DD90" s="81"/>
      <c r="DE90" s="81"/>
      <c r="DF90" s="81"/>
      <c r="DG90" s="81"/>
      <c r="DH90" s="81"/>
      <c r="DI90" s="81"/>
      <c r="DJ90" s="81"/>
      <c r="DK90" s="81"/>
      <c r="DL90" s="81"/>
      <c r="DM90" s="81"/>
      <c r="DN90" s="81"/>
      <c r="DO90" s="81"/>
      <c r="DP90" s="81"/>
      <c r="DQ90" s="81"/>
      <c r="DR90" s="81"/>
      <c r="DS90" s="81"/>
      <c r="DT90" s="81"/>
      <c r="DU90" s="81"/>
      <c r="DV90" s="81"/>
      <c r="DW90" s="81"/>
      <c r="DX90" s="81"/>
      <c r="DY90" s="81"/>
      <c r="DZ90" s="81"/>
      <c r="EA90" s="81"/>
    </row>
    <row r="91" spans="2:131" ht="17.100000000000001" customHeight="1">
      <c r="B91" s="58">
        <v>4</v>
      </c>
      <c r="C91" s="58" t="s">
        <v>658</v>
      </c>
      <c r="D91" s="59"/>
      <c r="E91" s="60"/>
      <c r="F91" s="60"/>
      <c r="G91" s="60" t="s">
        <v>972</v>
      </c>
      <c r="H91" s="62"/>
      <c r="I91" s="123"/>
      <c r="J91" s="61"/>
      <c r="K91" s="61"/>
      <c r="L91" s="123"/>
      <c r="M91" s="145" t="s">
        <v>836</v>
      </c>
      <c r="N91" s="145" t="s">
        <v>836</v>
      </c>
      <c r="O91" s="145"/>
      <c r="P91" s="145"/>
      <c r="Q91" s="61"/>
      <c r="R91" s="61"/>
      <c r="S91" s="61"/>
      <c r="T91" s="61"/>
      <c r="U91" s="63"/>
      <c r="V91" s="64">
        <v>45174</v>
      </c>
      <c r="W91" s="61">
        <v>2</v>
      </c>
      <c r="X91" s="140">
        <f t="shared" ref="X91" si="75">IF(AND(V91="",W91="")=TRUE,"",WORKDAY(V91,W91-1,Holidays))</f>
        <v>45175</v>
      </c>
      <c r="Y91" s="64">
        <v>45168</v>
      </c>
      <c r="Z91" s="126">
        <f t="shared" ca="1" si="73"/>
        <v>1</v>
      </c>
      <c r="AA91" s="65">
        <v>45168</v>
      </c>
      <c r="AB91" s="66">
        <v>1</v>
      </c>
      <c r="AC91" s="125" t="str">
        <f t="shared" si="58"/>
        <v>Completed</v>
      </c>
      <c r="AD91" s="152"/>
      <c r="AE91" s="80">
        <v>45195</v>
      </c>
      <c r="AF91" s="81"/>
      <c r="AG91" s="81"/>
      <c r="AH91" s="81"/>
      <c r="AI91" s="81"/>
      <c r="AJ91" s="81"/>
      <c r="AK91" s="81"/>
      <c r="AL91" s="81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  <c r="BA91" s="81"/>
      <c r="BB91" s="81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81"/>
      <c r="CF91" s="81"/>
      <c r="CG91" s="81"/>
      <c r="CH91" s="81"/>
      <c r="CI91" s="81"/>
      <c r="CJ91" s="81"/>
      <c r="CK91" s="81"/>
      <c r="CL91" s="81"/>
      <c r="CM91" s="81"/>
      <c r="CN91" s="81"/>
      <c r="CO91" s="81"/>
      <c r="CP91" s="81"/>
      <c r="CQ91" s="81"/>
      <c r="CR91" s="81"/>
      <c r="CS91" s="81"/>
      <c r="CT91" s="81"/>
      <c r="CU91" s="81"/>
      <c r="CV91" s="81"/>
      <c r="CW91" s="81"/>
      <c r="CX91" s="81"/>
      <c r="CY91" s="81"/>
      <c r="CZ91" s="81"/>
      <c r="DA91" s="81"/>
      <c r="DB91" s="81"/>
      <c r="DC91" s="81"/>
      <c r="DD91" s="81"/>
      <c r="DE91" s="81"/>
      <c r="DF91" s="81"/>
      <c r="DG91" s="81"/>
      <c r="DH91" s="81"/>
      <c r="DI91" s="81"/>
      <c r="DJ91" s="81"/>
      <c r="DK91" s="81"/>
      <c r="DL91" s="81"/>
      <c r="DM91" s="81"/>
      <c r="DN91" s="81"/>
      <c r="DO91" s="81"/>
      <c r="DP91" s="81"/>
      <c r="DQ91" s="81"/>
      <c r="DR91" s="81"/>
      <c r="DS91" s="81"/>
      <c r="DT91" s="81"/>
      <c r="DU91" s="81"/>
      <c r="DV91" s="81"/>
      <c r="DW91" s="81"/>
      <c r="DX91" s="81"/>
      <c r="DY91" s="81"/>
      <c r="DZ91" s="81"/>
      <c r="EA91" s="81"/>
    </row>
    <row r="92" spans="2:131" ht="17.100000000000001" customHeight="1">
      <c r="B92" s="58">
        <v>4</v>
      </c>
      <c r="C92" s="58" t="s">
        <v>658</v>
      </c>
      <c r="D92" s="59"/>
      <c r="E92" s="60"/>
      <c r="F92" s="60"/>
      <c r="G92" s="60" t="s">
        <v>973</v>
      </c>
      <c r="H92" s="62"/>
      <c r="I92" s="123"/>
      <c r="J92" s="61"/>
      <c r="K92" s="61"/>
      <c r="L92" s="123"/>
      <c r="M92" s="145" t="s">
        <v>836</v>
      </c>
      <c r="N92" s="145" t="s">
        <v>836</v>
      </c>
      <c r="O92" s="145"/>
      <c r="P92" s="145"/>
      <c r="Q92" s="61"/>
      <c r="R92" s="61"/>
      <c r="S92" s="61"/>
      <c r="T92" s="61"/>
      <c r="U92" s="63"/>
      <c r="V92" s="64">
        <v>45176</v>
      </c>
      <c r="W92" s="61">
        <v>2</v>
      </c>
      <c r="X92" s="140">
        <f t="shared" ref="X92" si="76">IF(AND(V92="",W92="")=TRUE,"",WORKDAY(V92,W92-1,Holidays))</f>
        <v>45177</v>
      </c>
      <c r="Y92" s="64">
        <v>45169</v>
      </c>
      <c r="Z92" s="126">
        <f t="shared" ref="Z92:Z102" ca="1" si="77">IF(AND(Y92="",AA92="")=TRUE,"",IF(AND(Y92&gt;0,AA92="")=TRUE,NETWORKDAYS(Y92,TODAY(),Holidays),NETWORKDAYS(Y92,AA92,Holidays)))</f>
        <v>1</v>
      </c>
      <c r="AA92" s="65">
        <v>45169</v>
      </c>
      <c r="AB92" s="66">
        <v>1</v>
      </c>
      <c r="AC92" s="125" t="str">
        <f t="shared" si="58"/>
        <v>Completed</v>
      </c>
      <c r="AD92" s="152"/>
      <c r="AE92" s="80">
        <v>45196</v>
      </c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1"/>
      <c r="CI92" s="81"/>
      <c r="CJ92" s="81"/>
      <c r="CK92" s="81"/>
      <c r="CL92" s="81"/>
      <c r="CM92" s="81"/>
      <c r="CN92" s="81"/>
      <c r="CO92" s="81"/>
      <c r="CP92" s="81"/>
      <c r="CQ92" s="81"/>
      <c r="CR92" s="81"/>
      <c r="CS92" s="81"/>
      <c r="CT92" s="81"/>
      <c r="CU92" s="81"/>
      <c r="CV92" s="81"/>
      <c r="CW92" s="81"/>
      <c r="CX92" s="81"/>
      <c r="CY92" s="81"/>
      <c r="CZ92" s="81"/>
      <c r="DA92" s="81"/>
      <c r="DB92" s="81"/>
      <c r="DC92" s="81"/>
      <c r="DD92" s="81"/>
      <c r="DE92" s="81"/>
      <c r="DF92" s="81"/>
      <c r="DG92" s="81"/>
      <c r="DH92" s="81"/>
      <c r="DI92" s="81"/>
      <c r="DJ92" s="81"/>
      <c r="DK92" s="81"/>
      <c r="DL92" s="81"/>
      <c r="DM92" s="81"/>
      <c r="DN92" s="81"/>
      <c r="DO92" s="81"/>
      <c r="DP92" s="81"/>
      <c r="DQ92" s="81"/>
      <c r="DR92" s="81"/>
      <c r="DS92" s="81"/>
      <c r="DT92" s="81"/>
      <c r="DU92" s="81"/>
      <c r="DV92" s="81"/>
      <c r="DW92" s="81"/>
      <c r="DX92" s="81"/>
      <c r="DY92" s="81"/>
      <c r="DZ92" s="81"/>
      <c r="EA92" s="81"/>
    </row>
    <row r="93" spans="2:131" ht="17.100000000000001" customHeight="1">
      <c r="B93" s="92">
        <v>3</v>
      </c>
      <c r="C93" s="92" t="s">
        <v>655</v>
      </c>
      <c r="D93" s="93"/>
      <c r="E93" s="94"/>
      <c r="F93" s="94" t="s">
        <v>974</v>
      </c>
      <c r="G93" s="94"/>
      <c r="H93" s="95"/>
      <c r="I93" s="118" t="str">
        <f t="shared" ref="I93:U93" si="78">IF(COUNTIF(I94:I97,"●")&gt;0,"●","")</f>
        <v/>
      </c>
      <c r="J93" s="91" t="str">
        <f t="shared" si="78"/>
        <v/>
      </c>
      <c r="K93" s="91" t="str">
        <f t="shared" si="78"/>
        <v/>
      </c>
      <c r="L93" s="118" t="str">
        <f t="shared" si="78"/>
        <v/>
      </c>
      <c r="M93" s="91" t="str">
        <f t="shared" si="78"/>
        <v>●</v>
      </c>
      <c r="N93" s="144" t="str">
        <f t="shared" si="78"/>
        <v>●</v>
      </c>
      <c r="O93" s="144" t="str">
        <f t="shared" si="78"/>
        <v/>
      </c>
      <c r="P93" s="144" t="str">
        <f t="shared" si="78"/>
        <v/>
      </c>
      <c r="Q93" s="144" t="str">
        <f t="shared" si="78"/>
        <v/>
      </c>
      <c r="R93" s="144" t="str">
        <f t="shared" si="78"/>
        <v/>
      </c>
      <c r="S93" s="144" t="str">
        <f t="shared" si="78"/>
        <v/>
      </c>
      <c r="T93" s="144" t="str">
        <f t="shared" si="78"/>
        <v/>
      </c>
      <c r="U93" s="144" t="str">
        <f t="shared" si="78"/>
        <v/>
      </c>
      <c r="V93" s="96">
        <f>IF(MIN(V94:V97)=0,"",MIN(V94:V97))</f>
        <v>45187</v>
      </c>
      <c r="W93" s="97">
        <f ca="1">IF(AND(V93="",X93="")=TRUE,"",IF(AND(V93&gt;0,X93="")=TRUE,NETWORKDAYS(V93,TODAY(),Holidays),NETWORKDAYS(V93,X93,Holidays)))</f>
        <v>10</v>
      </c>
      <c r="X93" s="138">
        <f>IF(MAX(X94:X97)=0,"",MAX(X94:X97))</f>
        <v>45203</v>
      </c>
      <c r="Y93" s="96">
        <f>IF(MIN(Y94:Y97)=0,"",MIN(Y94:Y97))</f>
        <v>45177</v>
      </c>
      <c r="Z93" s="97">
        <f t="shared" ca="1" si="77"/>
        <v>12</v>
      </c>
      <c r="AA93" s="98">
        <f>IF(MAX(AA94:AA97)=0,"",MAX(AA94:AA97))</f>
        <v>45194</v>
      </c>
      <c r="AB93" s="99">
        <f>IFERROR(AVERAGE(AB94:AB97),"")</f>
        <v>1</v>
      </c>
      <c r="AC93" s="100" t="str">
        <f t="shared" ref="AC93:AC97" si="79">IF(AB93=100%,"Completed",IF(AND(AB93&lt;100%,AB93&gt;0%)=TRUE,"In-Progress","Open"))</f>
        <v>Completed</v>
      </c>
      <c r="AD93" s="154"/>
      <c r="AE93" s="80">
        <v>45201</v>
      </c>
      <c r="AF93" s="81"/>
      <c r="AG93" s="81"/>
      <c r="AH93" s="81"/>
      <c r="AI93" s="81"/>
      <c r="AJ93" s="81"/>
      <c r="AK93" s="81"/>
      <c r="AL93" s="81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  <c r="BA93" s="81"/>
      <c r="BB93" s="81"/>
      <c r="BC93" s="81"/>
      <c r="BD93" s="81"/>
      <c r="BE93" s="81"/>
      <c r="BF93" s="81"/>
      <c r="BG93" s="81"/>
      <c r="BH93" s="81"/>
      <c r="BI93" s="81"/>
      <c r="BJ93" s="81"/>
      <c r="BK93" s="81"/>
      <c r="BL93" s="81"/>
      <c r="BM93" s="81"/>
      <c r="BN93" s="81"/>
      <c r="BO93" s="81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81"/>
      <c r="CC93" s="81"/>
      <c r="CD93" s="81"/>
      <c r="CE93" s="81"/>
      <c r="CF93" s="81"/>
      <c r="CG93" s="81"/>
      <c r="CH93" s="81"/>
      <c r="CI93" s="81"/>
      <c r="CJ93" s="81"/>
      <c r="CK93" s="81"/>
      <c r="CL93" s="81"/>
      <c r="CM93" s="81"/>
      <c r="CN93" s="81"/>
      <c r="CO93" s="81"/>
      <c r="CP93" s="81"/>
      <c r="CQ93" s="81"/>
      <c r="CR93" s="81"/>
      <c r="CS93" s="81"/>
      <c r="CT93" s="81"/>
      <c r="CU93" s="81"/>
      <c r="CV93" s="81"/>
      <c r="CW93" s="81"/>
      <c r="CX93" s="81"/>
      <c r="CY93" s="81"/>
      <c r="CZ93" s="81"/>
      <c r="DA93" s="81"/>
      <c r="DB93" s="81"/>
      <c r="DC93" s="81"/>
      <c r="DD93" s="81"/>
      <c r="DE93" s="81"/>
      <c r="DF93" s="81"/>
      <c r="DG93" s="81"/>
      <c r="DH93" s="81"/>
      <c r="DI93" s="81"/>
      <c r="DJ93" s="81"/>
      <c r="DK93" s="81"/>
      <c r="DL93" s="81"/>
      <c r="DM93" s="81"/>
      <c r="DN93" s="81"/>
      <c r="DO93" s="81"/>
      <c r="DP93" s="81"/>
      <c r="DQ93" s="81"/>
      <c r="DR93" s="81"/>
      <c r="DS93" s="81"/>
      <c r="DT93" s="81"/>
      <c r="DU93" s="81"/>
      <c r="DV93" s="81"/>
      <c r="DW93" s="81"/>
      <c r="DX93" s="81"/>
      <c r="DY93" s="81"/>
      <c r="DZ93" s="81"/>
      <c r="EA93" s="81"/>
    </row>
    <row r="94" spans="2:131" ht="17.100000000000001" customHeight="1">
      <c r="B94" s="58">
        <v>4</v>
      </c>
      <c r="C94" s="58" t="s">
        <v>658</v>
      </c>
      <c r="D94" s="59"/>
      <c r="E94" s="60"/>
      <c r="F94" s="60"/>
      <c r="G94" s="60" t="s">
        <v>975</v>
      </c>
      <c r="H94" s="62"/>
      <c r="I94" s="123"/>
      <c r="J94" s="61"/>
      <c r="K94" s="61"/>
      <c r="L94" s="123"/>
      <c r="M94" s="145" t="s">
        <v>836</v>
      </c>
      <c r="N94" s="145" t="s">
        <v>836</v>
      </c>
      <c r="O94" s="145"/>
      <c r="P94" s="145"/>
      <c r="Q94" s="61"/>
      <c r="R94" s="61"/>
      <c r="S94" s="61"/>
      <c r="T94" s="61"/>
      <c r="U94" s="63"/>
      <c r="V94" s="64">
        <v>45187</v>
      </c>
      <c r="W94" s="61">
        <v>5</v>
      </c>
      <c r="X94" s="140">
        <f t="shared" ref="X94:X97" si="80">IF(AND(V94="",W94="")=TRUE,"",WORKDAY(V94,W94-1,Holidays))</f>
        <v>45191</v>
      </c>
      <c r="Y94" s="64">
        <v>45177</v>
      </c>
      <c r="Z94" s="126">
        <f t="shared" ca="1" si="77"/>
        <v>4</v>
      </c>
      <c r="AA94" s="65">
        <v>45182</v>
      </c>
      <c r="AB94" s="66">
        <v>1</v>
      </c>
      <c r="AC94" s="125" t="str">
        <f t="shared" si="79"/>
        <v>Completed</v>
      </c>
      <c r="AD94" s="152"/>
      <c r="AE94" s="80">
        <v>45203</v>
      </c>
      <c r="AF94" s="81"/>
      <c r="AG94" s="81"/>
      <c r="AH94" s="81"/>
      <c r="AI94" s="81"/>
      <c r="AJ94" s="81"/>
      <c r="AK94" s="81"/>
      <c r="AL94" s="81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  <c r="BA94" s="81"/>
      <c r="BB94" s="81"/>
      <c r="BC94" s="81"/>
      <c r="BD94" s="81"/>
      <c r="BE94" s="81"/>
      <c r="BF94" s="81"/>
      <c r="BG94" s="81"/>
      <c r="BH94" s="81"/>
      <c r="BI94" s="81"/>
      <c r="BJ94" s="81"/>
      <c r="BK94" s="81"/>
      <c r="BL94" s="81"/>
      <c r="BM94" s="81"/>
      <c r="BN94" s="81"/>
      <c r="BO94" s="81"/>
      <c r="BP94" s="81"/>
      <c r="BQ94" s="81"/>
      <c r="BR94" s="81"/>
      <c r="BS94" s="81"/>
      <c r="BT94" s="81"/>
      <c r="BU94" s="81"/>
      <c r="BV94" s="81"/>
      <c r="BW94" s="81"/>
      <c r="BX94" s="81"/>
      <c r="BY94" s="81"/>
      <c r="BZ94" s="81"/>
      <c r="CA94" s="81"/>
      <c r="CB94" s="81"/>
      <c r="CC94" s="81"/>
      <c r="CD94" s="81"/>
      <c r="CE94" s="81"/>
      <c r="CF94" s="81"/>
      <c r="CG94" s="81"/>
      <c r="CH94" s="81"/>
      <c r="CI94" s="81"/>
      <c r="CJ94" s="81"/>
      <c r="CK94" s="81"/>
      <c r="CL94" s="81"/>
      <c r="CM94" s="81"/>
      <c r="CN94" s="81"/>
      <c r="CO94" s="81"/>
      <c r="CP94" s="81"/>
      <c r="CQ94" s="81"/>
      <c r="CR94" s="81"/>
      <c r="CS94" s="81"/>
      <c r="CT94" s="81"/>
      <c r="CU94" s="81"/>
      <c r="CV94" s="81"/>
      <c r="CW94" s="81"/>
      <c r="CX94" s="81"/>
      <c r="CY94" s="81"/>
      <c r="CZ94" s="81"/>
      <c r="DA94" s="81"/>
      <c r="DB94" s="81"/>
      <c r="DC94" s="81"/>
      <c r="DD94" s="81"/>
      <c r="DE94" s="81"/>
      <c r="DF94" s="81"/>
      <c r="DG94" s="81"/>
      <c r="DH94" s="81"/>
      <c r="DI94" s="81"/>
      <c r="DJ94" s="81"/>
      <c r="DK94" s="81"/>
      <c r="DL94" s="81"/>
      <c r="DM94" s="81"/>
      <c r="DN94" s="81"/>
      <c r="DO94" s="81"/>
      <c r="DP94" s="81"/>
      <c r="DQ94" s="81"/>
      <c r="DR94" s="81"/>
      <c r="DS94" s="81"/>
      <c r="DT94" s="81"/>
      <c r="DU94" s="81"/>
      <c r="DV94" s="81"/>
      <c r="DW94" s="81"/>
      <c r="DX94" s="81"/>
      <c r="DY94" s="81"/>
      <c r="DZ94" s="81"/>
      <c r="EA94" s="81"/>
    </row>
    <row r="95" spans="2:131" ht="17.100000000000001" customHeight="1">
      <c r="B95" s="162">
        <v>4</v>
      </c>
      <c r="C95" s="162" t="s">
        <v>658</v>
      </c>
      <c r="D95" s="163"/>
      <c r="E95" s="164"/>
      <c r="F95" s="164"/>
      <c r="G95" s="164" t="s">
        <v>976</v>
      </c>
      <c r="H95" s="165"/>
      <c r="I95" s="123"/>
      <c r="J95" s="61"/>
      <c r="K95" s="61"/>
      <c r="L95" s="123"/>
      <c r="M95" s="145" t="s">
        <v>836</v>
      </c>
      <c r="N95" s="145" t="s">
        <v>836</v>
      </c>
      <c r="O95" s="145"/>
      <c r="P95" s="145"/>
      <c r="Q95" s="61"/>
      <c r="R95" s="61"/>
      <c r="S95" s="61"/>
      <c r="T95" s="61"/>
      <c r="U95" s="63"/>
      <c r="V95" s="64">
        <v>45194</v>
      </c>
      <c r="W95" s="61">
        <v>1</v>
      </c>
      <c r="X95" s="140">
        <f>IF(AND(V95="",W95="")=TRUE,"",WORKDAY(V95,W95-1,Holidays))</f>
        <v>45194</v>
      </c>
      <c r="Y95" s="64">
        <v>45182</v>
      </c>
      <c r="Z95" s="126">
        <f ca="1">IF(AND(Y95="",AA95="")=TRUE,"",IF(AND(Y95&gt;0,AA95="")=TRUE,NETWORKDAYS(Y95,TODAY(),Holidays),NETWORKDAYS(Y95,AA95,Holidays)))</f>
        <v>1</v>
      </c>
      <c r="AA95" s="65">
        <v>45182</v>
      </c>
      <c r="AB95" s="66">
        <v>1</v>
      </c>
      <c r="AC95" s="125" t="str">
        <f>IF(AB95=100%,"Completed",IF(AND(AB95&lt;100%,AB95&gt;0%)=TRUE,"In-Progress","Open"))</f>
        <v>Completed</v>
      </c>
      <c r="AD95" s="152"/>
      <c r="AE95" s="160">
        <v>45204</v>
      </c>
      <c r="AF95" s="161"/>
      <c r="AG95" s="161"/>
      <c r="AH95" s="161"/>
      <c r="AI95" s="161"/>
      <c r="AJ95" s="161"/>
      <c r="AK95" s="161"/>
      <c r="AL95" s="161"/>
      <c r="AM95" s="161"/>
      <c r="AN95" s="161"/>
      <c r="AO95" s="161"/>
      <c r="AP95" s="161"/>
      <c r="AQ95" s="161"/>
      <c r="AR95" s="161"/>
      <c r="AS95" s="161"/>
      <c r="AT95" s="161"/>
      <c r="AU95" s="161"/>
      <c r="AV95" s="161"/>
      <c r="AW95" s="161"/>
      <c r="AX95" s="161"/>
      <c r="AY95" s="161"/>
      <c r="AZ95" s="161"/>
      <c r="BA95" s="161"/>
      <c r="BB95" s="161"/>
      <c r="BC95" s="161"/>
      <c r="BD95" s="161"/>
      <c r="BE95" s="161"/>
      <c r="BF95" s="161"/>
      <c r="BG95" s="161"/>
      <c r="BH95" s="161"/>
      <c r="BI95" s="161"/>
      <c r="BJ95" s="161"/>
      <c r="BK95" s="161"/>
      <c r="BL95" s="161"/>
      <c r="BM95" s="161"/>
      <c r="BN95" s="161"/>
      <c r="BO95" s="161"/>
      <c r="BP95" s="161"/>
      <c r="BQ95" s="161"/>
      <c r="BR95" s="161"/>
      <c r="BS95" s="161"/>
      <c r="BT95" s="161"/>
      <c r="BU95" s="161"/>
      <c r="BV95" s="161"/>
      <c r="BW95" s="161"/>
      <c r="BX95" s="161"/>
      <c r="BY95" s="161"/>
      <c r="BZ95" s="161"/>
      <c r="CA95" s="161"/>
      <c r="CB95" s="161"/>
      <c r="CC95" s="161"/>
      <c r="CD95" s="161"/>
      <c r="CE95" s="161"/>
      <c r="CF95" s="161"/>
      <c r="CG95" s="161"/>
      <c r="CH95" s="161"/>
      <c r="CI95" s="161"/>
      <c r="CJ95" s="161"/>
      <c r="CK95" s="161"/>
      <c r="CL95" s="161"/>
      <c r="CM95" s="161"/>
      <c r="CN95" s="161"/>
      <c r="CO95" s="161"/>
      <c r="CP95" s="161"/>
      <c r="CQ95" s="161"/>
      <c r="CR95" s="161"/>
      <c r="CS95" s="161"/>
      <c r="CT95" s="161"/>
      <c r="CU95" s="161"/>
      <c r="CV95" s="161"/>
      <c r="CW95" s="161"/>
      <c r="CX95" s="161"/>
      <c r="CY95" s="161"/>
      <c r="CZ95" s="161"/>
      <c r="DA95" s="161"/>
      <c r="DB95" s="161"/>
      <c r="DC95" s="161"/>
      <c r="DD95" s="161"/>
      <c r="DE95" s="161"/>
      <c r="DF95" s="161"/>
      <c r="DG95" s="161"/>
      <c r="DH95" s="161"/>
      <c r="DI95" s="161"/>
      <c r="DJ95" s="161"/>
      <c r="DK95" s="161"/>
      <c r="DL95" s="161"/>
      <c r="DM95" s="161"/>
      <c r="DN95" s="161"/>
      <c r="DO95" s="161"/>
      <c r="DP95" s="161"/>
      <c r="DQ95" s="161"/>
      <c r="DR95" s="161"/>
      <c r="DS95" s="161"/>
      <c r="DT95" s="161"/>
      <c r="DU95" s="161"/>
      <c r="DV95" s="161"/>
      <c r="DW95" s="161"/>
      <c r="DX95" s="161"/>
      <c r="DY95" s="161"/>
      <c r="DZ95" s="161"/>
      <c r="EA95" s="161"/>
    </row>
    <row r="96" spans="2:131" ht="17.100000000000001" customHeight="1">
      <c r="B96" s="58">
        <v>4</v>
      </c>
      <c r="C96" s="58" t="s">
        <v>658</v>
      </c>
      <c r="D96" s="59"/>
      <c r="E96" s="60"/>
      <c r="F96" s="60"/>
      <c r="G96" s="60" t="s">
        <v>972</v>
      </c>
      <c r="H96" s="62"/>
      <c r="I96" s="123"/>
      <c r="J96" s="61"/>
      <c r="K96" s="61"/>
      <c r="L96" s="123"/>
      <c r="M96" s="145" t="s">
        <v>836</v>
      </c>
      <c r="N96" s="145" t="s">
        <v>836</v>
      </c>
      <c r="O96" s="145"/>
      <c r="P96" s="145"/>
      <c r="Q96" s="61"/>
      <c r="R96" s="61"/>
      <c r="S96" s="61"/>
      <c r="T96" s="61"/>
      <c r="U96" s="63"/>
      <c r="V96" s="64">
        <v>45195</v>
      </c>
      <c r="W96" s="61">
        <v>2</v>
      </c>
      <c r="X96" s="140">
        <f t="shared" si="80"/>
        <v>45196</v>
      </c>
      <c r="Y96" s="64">
        <v>45182</v>
      </c>
      <c r="Z96" s="126">
        <f ca="1">IF(AND(Y96="",AA96="")=TRUE,"",IF(AND(Y96&gt;0,AA96="")=TRUE,NETWORKDAYS(Y96,TODAY(),Holidays),NETWORKDAYS(Y96,AA96,Holidays)))</f>
        <v>8</v>
      </c>
      <c r="AA96" s="65">
        <v>45191</v>
      </c>
      <c r="AB96" s="66">
        <v>1</v>
      </c>
      <c r="AC96" s="125" t="str">
        <f t="shared" si="79"/>
        <v>Completed</v>
      </c>
      <c r="AD96" s="152"/>
      <c r="AE96" s="80">
        <v>45205</v>
      </c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81"/>
      <c r="CK96" s="81"/>
      <c r="CL96" s="81"/>
      <c r="CM96" s="81"/>
      <c r="CN96" s="81"/>
      <c r="CO96" s="81"/>
      <c r="CP96" s="81"/>
      <c r="CQ96" s="81"/>
      <c r="CR96" s="81"/>
      <c r="CS96" s="81"/>
      <c r="CT96" s="81"/>
      <c r="CU96" s="81"/>
      <c r="CV96" s="81"/>
      <c r="CW96" s="81"/>
      <c r="CX96" s="81"/>
      <c r="CY96" s="81"/>
      <c r="CZ96" s="81"/>
      <c r="DA96" s="81"/>
      <c r="DB96" s="81"/>
      <c r="DC96" s="81"/>
      <c r="DD96" s="81"/>
      <c r="DE96" s="81"/>
      <c r="DF96" s="81"/>
      <c r="DG96" s="81"/>
      <c r="DH96" s="81"/>
      <c r="DI96" s="81"/>
      <c r="DJ96" s="81"/>
      <c r="DK96" s="81"/>
      <c r="DL96" s="81"/>
      <c r="DM96" s="81"/>
      <c r="DN96" s="81"/>
      <c r="DO96" s="81"/>
      <c r="DP96" s="81"/>
      <c r="DQ96" s="81"/>
      <c r="DR96" s="81"/>
      <c r="DS96" s="81"/>
      <c r="DT96" s="81"/>
      <c r="DU96" s="81"/>
      <c r="DV96" s="81"/>
      <c r="DW96" s="81"/>
      <c r="DX96" s="81"/>
      <c r="DY96" s="81"/>
      <c r="DZ96" s="81"/>
      <c r="EA96" s="81"/>
    </row>
    <row r="97" spans="2:131" ht="17.100000000000001" customHeight="1">
      <c r="B97" s="58">
        <v>4</v>
      </c>
      <c r="C97" s="58" t="s">
        <v>658</v>
      </c>
      <c r="D97" s="59"/>
      <c r="E97" s="60"/>
      <c r="F97" s="60"/>
      <c r="G97" s="60" t="s">
        <v>977</v>
      </c>
      <c r="H97" s="62"/>
      <c r="I97" s="123"/>
      <c r="J97" s="61"/>
      <c r="K97" s="61"/>
      <c r="L97" s="123"/>
      <c r="M97" s="145" t="s">
        <v>836</v>
      </c>
      <c r="N97" s="145" t="s">
        <v>836</v>
      </c>
      <c r="O97" s="145"/>
      <c r="P97" s="145"/>
      <c r="Q97" s="61"/>
      <c r="R97" s="61"/>
      <c r="S97" s="61"/>
      <c r="T97" s="61"/>
      <c r="U97" s="63"/>
      <c r="V97" s="64">
        <v>45201</v>
      </c>
      <c r="W97" s="61">
        <v>2</v>
      </c>
      <c r="X97" s="140">
        <f t="shared" si="80"/>
        <v>45203</v>
      </c>
      <c r="Y97" s="64">
        <v>45191</v>
      </c>
      <c r="Z97" s="126">
        <f t="shared" ref="Z97" ca="1" si="81">IF(AND(Y97="",AA97="")=TRUE,"",IF(AND(Y97&gt;0,AA97="")=TRUE,NETWORKDAYS(Y97,TODAY(),Holidays),NETWORKDAYS(Y97,AA97,Holidays)))</f>
        <v>2</v>
      </c>
      <c r="AA97" s="65">
        <v>45194</v>
      </c>
      <c r="AB97" s="66">
        <v>1</v>
      </c>
      <c r="AC97" s="125" t="str">
        <f t="shared" si="79"/>
        <v>Completed</v>
      </c>
      <c r="AD97" s="152"/>
      <c r="AE97" s="80">
        <v>45209</v>
      </c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81"/>
      <c r="CN97" s="81"/>
      <c r="CO97" s="81"/>
      <c r="CP97" s="81"/>
      <c r="CQ97" s="81"/>
      <c r="CR97" s="81"/>
      <c r="CS97" s="81"/>
      <c r="CT97" s="81"/>
      <c r="CU97" s="81"/>
      <c r="CV97" s="81"/>
      <c r="CW97" s="81"/>
      <c r="CX97" s="81"/>
      <c r="CY97" s="81"/>
      <c r="CZ97" s="81"/>
      <c r="DA97" s="81"/>
      <c r="DB97" s="81"/>
      <c r="DC97" s="81"/>
      <c r="DD97" s="81"/>
      <c r="DE97" s="81"/>
      <c r="DF97" s="81"/>
      <c r="DG97" s="81"/>
      <c r="DH97" s="81"/>
      <c r="DI97" s="81"/>
      <c r="DJ97" s="81"/>
      <c r="DK97" s="81"/>
      <c r="DL97" s="81"/>
      <c r="DM97" s="81"/>
      <c r="DN97" s="81"/>
      <c r="DO97" s="81"/>
      <c r="DP97" s="81"/>
      <c r="DQ97" s="81"/>
      <c r="DR97" s="81"/>
      <c r="DS97" s="81"/>
      <c r="DT97" s="81"/>
      <c r="DU97" s="81"/>
      <c r="DV97" s="81"/>
      <c r="DW97" s="81"/>
      <c r="DX97" s="81"/>
      <c r="DY97" s="81"/>
      <c r="DZ97" s="81"/>
      <c r="EA97" s="81"/>
    </row>
    <row r="98" spans="2:131" ht="17.100000000000001" customHeight="1">
      <c r="B98" s="83">
        <v>1</v>
      </c>
      <c r="C98" s="83" t="s">
        <v>655</v>
      </c>
      <c r="D98" s="141" t="s">
        <v>978</v>
      </c>
      <c r="E98" s="142"/>
      <c r="F98" s="142"/>
      <c r="G98" s="142"/>
      <c r="H98" s="143"/>
      <c r="I98" s="117" t="str">
        <f t="shared" ref="I98:U98" si="82">IF(COUNTIF(I99:I120,"●")&gt;0,"●","")</f>
        <v/>
      </c>
      <c r="J98" s="82" t="str">
        <f t="shared" si="82"/>
        <v/>
      </c>
      <c r="K98" s="82" t="str">
        <f t="shared" si="82"/>
        <v/>
      </c>
      <c r="L98" s="117" t="str">
        <f t="shared" si="82"/>
        <v>●</v>
      </c>
      <c r="M98" s="82" t="str">
        <f t="shared" si="82"/>
        <v/>
      </c>
      <c r="N98" s="146" t="str">
        <f t="shared" si="82"/>
        <v/>
      </c>
      <c r="O98" s="117" t="str">
        <f t="shared" si="82"/>
        <v>●</v>
      </c>
      <c r="P98" s="146" t="str">
        <f t="shared" si="82"/>
        <v/>
      </c>
      <c r="Q98" s="146" t="str">
        <f t="shared" si="82"/>
        <v/>
      </c>
      <c r="R98" s="146" t="str">
        <f t="shared" si="82"/>
        <v/>
      </c>
      <c r="S98" s="146" t="str">
        <f t="shared" si="82"/>
        <v/>
      </c>
      <c r="T98" s="146" t="str">
        <f t="shared" si="82"/>
        <v/>
      </c>
      <c r="U98" s="146" t="str">
        <f t="shared" si="82"/>
        <v/>
      </c>
      <c r="V98" s="85">
        <f>IF(MIN(V99:V120)=0,"",MIN(V99:V157))</f>
        <v>45124</v>
      </c>
      <c r="W98" s="86">
        <f ca="1">IF(AND(V98="",X98="")=TRUE,"",IF(AND(V98&gt;0,X98="")=TRUE,NETWORKDAYS(V98,TODAY(),Holidays),NETWORKDAYS(V98,X98,Holidays)))</f>
        <v>60</v>
      </c>
      <c r="X98" s="87">
        <f>IF(MAX(X99:X120)=0,"",MAX(X99:X120))</f>
        <v>45212</v>
      </c>
      <c r="Y98" s="85">
        <f>IF(MIN(Y99:Y120)=0,"",MIN(Y99:Y120))</f>
        <v>45124</v>
      </c>
      <c r="Z98" s="86">
        <f t="shared" ca="1" si="77"/>
        <v>60</v>
      </c>
      <c r="AA98" s="87">
        <f>IF(MAX(AA99:AA120)=0,"",MAX(AA99:AA120))</f>
        <v>45212</v>
      </c>
      <c r="AB98" s="88">
        <f>IFERROR(AVERAGE(AB99),"")</f>
        <v>1</v>
      </c>
      <c r="AC98" s="89" t="str">
        <f t="shared" si="58"/>
        <v>Completed</v>
      </c>
      <c r="AD98" s="153"/>
      <c r="AE98" s="80">
        <v>45210</v>
      </c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81"/>
      <c r="CN98" s="81"/>
      <c r="CO98" s="81"/>
      <c r="CP98" s="81"/>
      <c r="CQ98" s="81"/>
      <c r="CR98" s="81"/>
      <c r="CS98" s="81"/>
      <c r="CT98" s="81"/>
      <c r="CU98" s="81"/>
      <c r="CV98" s="81"/>
      <c r="CW98" s="81"/>
      <c r="CX98" s="81"/>
      <c r="CY98" s="81"/>
      <c r="CZ98" s="81"/>
      <c r="DA98" s="81"/>
      <c r="DB98" s="81"/>
      <c r="DC98" s="81"/>
      <c r="DD98" s="81"/>
      <c r="DE98" s="81"/>
      <c r="DF98" s="81"/>
      <c r="DG98" s="81"/>
      <c r="DH98" s="81"/>
      <c r="DI98" s="81"/>
      <c r="DJ98" s="81"/>
      <c r="DK98" s="81"/>
      <c r="DL98" s="81"/>
      <c r="DM98" s="81"/>
      <c r="DN98" s="81"/>
      <c r="DO98" s="81"/>
      <c r="DP98" s="81"/>
      <c r="DQ98" s="81"/>
      <c r="DR98" s="81"/>
      <c r="DS98" s="81"/>
      <c r="DT98" s="81"/>
      <c r="DU98" s="81"/>
      <c r="DV98" s="81"/>
      <c r="DW98" s="81"/>
      <c r="DX98" s="81"/>
      <c r="DY98" s="81"/>
      <c r="DZ98" s="81"/>
      <c r="EA98" s="81"/>
    </row>
    <row r="99" spans="2:131" ht="17.100000000000001" customHeight="1">
      <c r="B99" s="92">
        <v>2</v>
      </c>
      <c r="C99" s="92" t="s">
        <v>655</v>
      </c>
      <c r="D99" s="93"/>
      <c r="E99" s="94" t="s">
        <v>979</v>
      </c>
      <c r="F99" s="94"/>
      <c r="G99" s="94"/>
      <c r="H99" s="95"/>
      <c r="I99" s="118" t="str">
        <f t="shared" ref="I99:U99" si="83">IF(COUNTIF(I100:I106,"●")&gt;0,"●","")</f>
        <v/>
      </c>
      <c r="J99" s="91" t="str">
        <f t="shared" si="83"/>
        <v/>
      </c>
      <c r="K99" s="91" t="str">
        <f t="shared" si="83"/>
        <v/>
      </c>
      <c r="L99" s="118" t="str">
        <f t="shared" si="83"/>
        <v>●</v>
      </c>
      <c r="M99" s="91" t="str">
        <f t="shared" si="83"/>
        <v/>
      </c>
      <c r="N99" s="144" t="str">
        <f t="shared" si="83"/>
        <v/>
      </c>
      <c r="O99" s="118" t="str">
        <f t="shared" ref="O99" si="84">IF(COUNTIF(O100:O106,"●")&gt;0,"●","")</f>
        <v>●</v>
      </c>
      <c r="P99" s="144" t="str">
        <f t="shared" ref="P99" si="85">IF(COUNTIF(P100:P106,"●")&gt;0,"●","")</f>
        <v/>
      </c>
      <c r="Q99" s="144" t="str">
        <f t="shared" si="83"/>
        <v/>
      </c>
      <c r="R99" s="144" t="str">
        <f t="shared" si="83"/>
        <v/>
      </c>
      <c r="S99" s="144" t="str">
        <f t="shared" si="83"/>
        <v/>
      </c>
      <c r="T99" s="144" t="str">
        <f t="shared" si="83"/>
        <v/>
      </c>
      <c r="U99" s="144" t="str">
        <f t="shared" si="83"/>
        <v/>
      </c>
      <c r="V99" s="96">
        <f>IF(MIN(V100:V106)=0,"",MIN(V100:V102))</f>
        <v>45124</v>
      </c>
      <c r="W99" s="97">
        <f ca="1">IF(AND(V99="",X99="")=TRUE,"",IF(AND(V99&gt;0,X99="")=TRUE,NETWORKDAYS(V99,TODAY(),Holidays),NETWORKDAYS(V99,X99,Holidays)))</f>
        <v>25</v>
      </c>
      <c r="X99" s="139">
        <f>IF(MAX(X100:X106)=0,"",MAX(X100:X106))</f>
        <v>45159</v>
      </c>
      <c r="Y99" s="96">
        <f>IF(MIN(Y100:Y106)=0,"",MIN(Y100:Y106))</f>
        <v>45124</v>
      </c>
      <c r="Z99" s="97">
        <f t="shared" ca="1" si="77"/>
        <v>55</v>
      </c>
      <c r="AA99" s="98">
        <f>IF(MAX(AA100:AA106)=0,"",MAX(AA100:AA106))</f>
        <v>45204</v>
      </c>
      <c r="AB99" s="99">
        <f>IFERROR(AVERAGE(AB100,AB103),"")</f>
        <v>1</v>
      </c>
      <c r="AC99" s="100" t="str">
        <f t="shared" si="58"/>
        <v>Completed</v>
      </c>
      <c r="AD99" s="154"/>
      <c r="AE99" s="80">
        <v>45211</v>
      </c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81"/>
      <c r="CK99" s="81"/>
      <c r="CL99" s="81"/>
      <c r="CM99" s="81"/>
      <c r="CN99" s="81"/>
      <c r="CO99" s="81"/>
      <c r="CP99" s="81"/>
      <c r="CQ99" s="81"/>
      <c r="CR99" s="81"/>
      <c r="CS99" s="81"/>
      <c r="CT99" s="81"/>
      <c r="CU99" s="81"/>
      <c r="CV99" s="81"/>
      <c r="CW99" s="81"/>
      <c r="CX99" s="81"/>
      <c r="CY99" s="81"/>
      <c r="CZ99" s="81"/>
      <c r="DA99" s="81"/>
      <c r="DB99" s="81"/>
      <c r="DC99" s="81"/>
      <c r="DD99" s="81"/>
      <c r="DE99" s="81"/>
      <c r="DF99" s="81"/>
      <c r="DG99" s="81"/>
      <c r="DH99" s="81"/>
      <c r="DI99" s="81"/>
      <c r="DJ99" s="81"/>
      <c r="DK99" s="81"/>
      <c r="DL99" s="81"/>
      <c r="DM99" s="81"/>
      <c r="DN99" s="81"/>
      <c r="DO99" s="81"/>
      <c r="DP99" s="81"/>
      <c r="DQ99" s="81"/>
      <c r="DR99" s="81"/>
      <c r="DS99" s="81"/>
      <c r="DT99" s="81"/>
      <c r="DU99" s="81"/>
      <c r="DV99" s="81"/>
      <c r="DW99" s="81"/>
      <c r="DX99" s="81"/>
      <c r="DY99" s="81"/>
      <c r="DZ99" s="81"/>
      <c r="EA99" s="81"/>
    </row>
    <row r="100" spans="2:131" ht="17.100000000000001" customHeight="1">
      <c r="B100" s="92">
        <v>3</v>
      </c>
      <c r="C100" s="92" t="s">
        <v>655</v>
      </c>
      <c r="D100" s="93"/>
      <c r="E100" s="94"/>
      <c r="F100" s="94" t="s">
        <v>916</v>
      </c>
      <c r="G100" s="94"/>
      <c r="H100" s="95"/>
      <c r="I100" s="118" t="str">
        <f t="shared" ref="I100:U100" si="86">IF(COUNTIF(I101:I102,"●")&gt;0,"●","")</f>
        <v/>
      </c>
      <c r="J100" s="91" t="str">
        <f t="shared" si="86"/>
        <v/>
      </c>
      <c r="K100" s="91" t="str">
        <f t="shared" si="86"/>
        <v/>
      </c>
      <c r="L100" s="118" t="str">
        <f t="shared" si="86"/>
        <v>●</v>
      </c>
      <c r="M100" s="91" t="str">
        <f t="shared" si="86"/>
        <v/>
      </c>
      <c r="N100" s="144" t="str">
        <f t="shared" si="86"/>
        <v/>
      </c>
      <c r="O100" s="118" t="str">
        <f t="shared" ref="O100" si="87">IF(COUNTIF(O101:O102,"●")&gt;0,"●","")</f>
        <v>●</v>
      </c>
      <c r="P100" s="144" t="str">
        <f t="shared" ref="P100" si="88">IF(COUNTIF(P101:P102,"●")&gt;0,"●","")</f>
        <v/>
      </c>
      <c r="Q100" s="144" t="str">
        <f t="shared" si="86"/>
        <v/>
      </c>
      <c r="R100" s="144" t="str">
        <f t="shared" si="86"/>
        <v/>
      </c>
      <c r="S100" s="144" t="str">
        <f t="shared" si="86"/>
        <v/>
      </c>
      <c r="T100" s="144" t="str">
        <f t="shared" si="86"/>
        <v/>
      </c>
      <c r="U100" s="144" t="str">
        <f t="shared" si="86"/>
        <v/>
      </c>
      <c r="V100" s="96">
        <f>IF(MIN(V101:V102)=0,"",MIN(V101:V102))</f>
        <v>45124</v>
      </c>
      <c r="W100" s="97">
        <f ca="1">IF(AND(V100="",X100="")=TRUE,"",IF(AND(V100&gt;0,X100="")=TRUE,NETWORKDAYS(V100,TODAY(),Holidays),NETWORKDAYS(V100,X100,Holidays)))</f>
        <v>10</v>
      </c>
      <c r="X100" s="138">
        <f>IF(MAX(X101:X102)=0,"",MAX(X101:X102))</f>
        <v>45135</v>
      </c>
      <c r="Y100" s="96">
        <f>IF(MIN(Y101:Y102)=0,"",MIN(Y101:Y102))</f>
        <v>45124</v>
      </c>
      <c r="Z100" s="97">
        <f t="shared" ca="1" si="77"/>
        <v>16</v>
      </c>
      <c r="AA100" s="98">
        <f>IF(MAX(AA101:AA102)=0,"",MAX(AA101:AA102))</f>
        <v>45145</v>
      </c>
      <c r="AB100" s="99">
        <f>IFERROR(AVERAGE(AB101:AB102),"")</f>
        <v>1</v>
      </c>
      <c r="AC100" s="100" t="str">
        <f t="shared" si="58"/>
        <v>Completed</v>
      </c>
      <c r="AD100" s="154"/>
      <c r="AE100" s="80">
        <v>45212</v>
      </c>
      <c r="AF100" s="81"/>
      <c r="AG100" s="81"/>
      <c r="AH100" s="81"/>
      <c r="AI100" s="81"/>
      <c r="AJ100" s="81"/>
      <c r="AK100" s="81"/>
      <c r="AL100" s="81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  <c r="BA100" s="81"/>
      <c r="BB100" s="81"/>
      <c r="BC100" s="81"/>
      <c r="BD100" s="81"/>
      <c r="BE100" s="81"/>
      <c r="BF100" s="81"/>
      <c r="BG100" s="81"/>
      <c r="BH100" s="81"/>
      <c r="BI100" s="81"/>
      <c r="BJ100" s="81"/>
      <c r="BK100" s="81"/>
      <c r="BL100" s="81"/>
      <c r="BM100" s="81"/>
      <c r="BN100" s="81"/>
      <c r="BO100" s="81"/>
      <c r="BP100" s="81"/>
      <c r="BQ100" s="81"/>
      <c r="BR100" s="81"/>
      <c r="BS100" s="81"/>
      <c r="BT100" s="81"/>
      <c r="BU100" s="81"/>
      <c r="BV100" s="81"/>
      <c r="BW100" s="81"/>
      <c r="BX100" s="81"/>
      <c r="BY100" s="81"/>
      <c r="BZ100" s="81"/>
      <c r="CA100" s="81"/>
      <c r="CB100" s="81"/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  <c r="CM100" s="81"/>
      <c r="CN100" s="81"/>
      <c r="CO100" s="81"/>
      <c r="CP100" s="81"/>
      <c r="CQ100" s="81"/>
      <c r="CR100" s="81"/>
      <c r="CS100" s="81"/>
      <c r="CT100" s="81"/>
      <c r="CU100" s="81"/>
      <c r="CV100" s="81"/>
      <c r="CW100" s="81"/>
      <c r="CX100" s="81"/>
      <c r="CY100" s="81"/>
      <c r="CZ100" s="81"/>
      <c r="DA100" s="81"/>
      <c r="DB100" s="81"/>
      <c r="DC100" s="81"/>
      <c r="DD100" s="81"/>
      <c r="DE100" s="81"/>
      <c r="DF100" s="81"/>
      <c r="DG100" s="81"/>
      <c r="DH100" s="81"/>
      <c r="DI100" s="81"/>
      <c r="DJ100" s="81"/>
      <c r="DK100" s="81"/>
      <c r="DL100" s="81"/>
      <c r="DM100" s="81"/>
      <c r="DN100" s="81"/>
      <c r="DO100" s="81"/>
      <c r="DP100" s="81"/>
      <c r="DQ100" s="81"/>
      <c r="DR100" s="81"/>
      <c r="DS100" s="81"/>
      <c r="DT100" s="81"/>
      <c r="DU100" s="81"/>
      <c r="DV100" s="81"/>
      <c r="DW100" s="81"/>
      <c r="DX100" s="81"/>
      <c r="DY100" s="81"/>
      <c r="DZ100" s="81"/>
      <c r="EA100" s="81"/>
    </row>
    <row r="101" spans="2:131" ht="17.100000000000001" customHeight="1">
      <c r="B101" s="58">
        <v>4</v>
      </c>
      <c r="C101" s="58" t="s">
        <v>658</v>
      </c>
      <c r="D101" s="59"/>
      <c r="E101" s="60"/>
      <c r="F101" s="60"/>
      <c r="G101" s="60" t="s">
        <v>980</v>
      </c>
      <c r="H101" s="62"/>
      <c r="I101" s="123"/>
      <c r="J101" s="61"/>
      <c r="K101" s="61"/>
      <c r="L101" s="123" t="s">
        <v>836</v>
      </c>
      <c r="M101" s="145"/>
      <c r="N101" s="145"/>
      <c r="O101" s="123" t="s">
        <v>836</v>
      </c>
      <c r="P101" s="145"/>
      <c r="Q101" s="61"/>
      <c r="R101" s="61"/>
      <c r="S101" s="61"/>
      <c r="T101" s="61"/>
      <c r="U101" s="63"/>
      <c r="V101" s="64">
        <v>45124</v>
      </c>
      <c r="W101" s="61">
        <v>5</v>
      </c>
      <c r="X101" s="140">
        <f t="shared" ref="X101:X102" si="89">IF(AND(V101="",W101="")=TRUE,"",WORKDAY(V101,W101-1,Holidays))</f>
        <v>45128</v>
      </c>
      <c r="Y101" s="64">
        <v>45124</v>
      </c>
      <c r="Z101" s="126">
        <f t="shared" ca="1" si="77"/>
        <v>10</v>
      </c>
      <c r="AA101" s="65">
        <v>45135</v>
      </c>
      <c r="AB101" s="66">
        <v>1</v>
      </c>
      <c r="AC101" s="125" t="str">
        <f t="shared" si="58"/>
        <v>Completed</v>
      </c>
      <c r="AD101" s="152"/>
      <c r="AE101" s="80">
        <v>45215</v>
      </c>
      <c r="AF101" s="81"/>
      <c r="AG101" s="81"/>
      <c r="AH101" s="81"/>
      <c r="AI101" s="81"/>
      <c r="AJ101" s="81"/>
      <c r="AK101" s="81"/>
      <c r="AL101" s="81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  <c r="BA101" s="81"/>
      <c r="BB101" s="81"/>
      <c r="BC101" s="81"/>
      <c r="BD101" s="81"/>
      <c r="BE101" s="81"/>
      <c r="BF101" s="81"/>
      <c r="BG101" s="81"/>
      <c r="BH101" s="81"/>
      <c r="BI101" s="81"/>
      <c r="BJ101" s="81"/>
      <c r="BK101" s="81"/>
      <c r="BL101" s="81"/>
      <c r="BM101" s="81"/>
      <c r="BN101" s="81"/>
      <c r="BO101" s="81"/>
      <c r="BP101" s="81"/>
      <c r="BQ101" s="81"/>
      <c r="BR101" s="81"/>
      <c r="BS101" s="81"/>
      <c r="BT101" s="81"/>
      <c r="BU101" s="81"/>
      <c r="BV101" s="81"/>
      <c r="BW101" s="81"/>
      <c r="BX101" s="81"/>
      <c r="BY101" s="81"/>
      <c r="BZ101" s="81"/>
      <c r="CA101" s="81"/>
      <c r="CB101" s="81"/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  <c r="CM101" s="81"/>
      <c r="CN101" s="81"/>
      <c r="CO101" s="81"/>
      <c r="CP101" s="81"/>
      <c r="CQ101" s="81"/>
      <c r="CR101" s="81"/>
      <c r="CS101" s="81"/>
      <c r="CT101" s="81"/>
      <c r="CU101" s="81"/>
      <c r="CV101" s="81"/>
      <c r="CW101" s="81"/>
      <c r="CX101" s="81"/>
      <c r="CY101" s="81"/>
      <c r="CZ101" s="81"/>
      <c r="DA101" s="81"/>
      <c r="DB101" s="81"/>
      <c r="DC101" s="81"/>
      <c r="DD101" s="81"/>
      <c r="DE101" s="81"/>
      <c r="DF101" s="81"/>
      <c r="DG101" s="81"/>
      <c r="DH101" s="81"/>
      <c r="DI101" s="81"/>
      <c r="DJ101" s="81"/>
      <c r="DK101" s="81"/>
      <c r="DL101" s="81"/>
      <c r="DM101" s="81"/>
      <c r="DN101" s="81"/>
      <c r="DO101" s="81"/>
      <c r="DP101" s="81"/>
      <c r="DQ101" s="81"/>
      <c r="DR101" s="81"/>
      <c r="DS101" s="81"/>
      <c r="DT101" s="81"/>
      <c r="DU101" s="81"/>
      <c r="DV101" s="81"/>
      <c r="DW101" s="81"/>
      <c r="DX101" s="81"/>
      <c r="DY101" s="81"/>
      <c r="DZ101" s="81"/>
      <c r="EA101" s="81"/>
    </row>
    <row r="102" spans="2:131" ht="17.100000000000001" customHeight="1">
      <c r="B102" s="58">
        <v>4</v>
      </c>
      <c r="C102" s="58" t="s">
        <v>658</v>
      </c>
      <c r="D102" s="59"/>
      <c r="E102" s="60"/>
      <c r="F102" s="60"/>
      <c r="G102" s="60" t="s">
        <v>918</v>
      </c>
      <c r="H102" s="62"/>
      <c r="I102" s="123"/>
      <c r="J102" s="61"/>
      <c r="K102" s="61"/>
      <c r="L102" s="123" t="s">
        <v>836</v>
      </c>
      <c r="M102" s="145"/>
      <c r="N102" s="145"/>
      <c r="O102" s="123" t="s">
        <v>836</v>
      </c>
      <c r="P102" s="145"/>
      <c r="Q102" s="61"/>
      <c r="R102" s="61"/>
      <c r="S102" s="61"/>
      <c r="T102" s="61"/>
      <c r="U102" s="63"/>
      <c r="V102" s="64">
        <v>45131</v>
      </c>
      <c r="W102" s="61">
        <v>5</v>
      </c>
      <c r="X102" s="140">
        <f t="shared" si="89"/>
        <v>45135</v>
      </c>
      <c r="Y102" s="64">
        <v>45139</v>
      </c>
      <c r="Z102" s="126">
        <f t="shared" ca="1" si="77"/>
        <v>5</v>
      </c>
      <c r="AA102" s="65">
        <v>45145</v>
      </c>
      <c r="AB102" s="66">
        <v>1</v>
      </c>
      <c r="AC102" s="125" t="str">
        <f t="shared" si="58"/>
        <v>Completed</v>
      </c>
      <c r="AD102" s="152"/>
      <c r="AE102" s="80">
        <v>45216</v>
      </c>
      <c r="AF102" s="81"/>
      <c r="AG102" s="81"/>
      <c r="AH102" s="81"/>
      <c r="AI102" s="81"/>
      <c r="AJ102" s="81"/>
      <c r="AK102" s="81"/>
      <c r="AL102" s="81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  <c r="BA102" s="81"/>
      <c r="BB102" s="81"/>
      <c r="BC102" s="81"/>
      <c r="BD102" s="81"/>
      <c r="BE102" s="81"/>
      <c r="BF102" s="81"/>
      <c r="BG102" s="81"/>
      <c r="BH102" s="81"/>
      <c r="BI102" s="81"/>
      <c r="BJ102" s="81"/>
      <c r="BK102" s="81"/>
      <c r="BL102" s="81"/>
      <c r="BM102" s="81"/>
      <c r="BN102" s="81"/>
      <c r="BO102" s="81"/>
      <c r="BP102" s="81"/>
      <c r="BQ102" s="81"/>
      <c r="BR102" s="81"/>
      <c r="BS102" s="81"/>
      <c r="BT102" s="81"/>
      <c r="BU102" s="81"/>
      <c r="BV102" s="81"/>
      <c r="BW102" s="81"/>
      <c r="BX102" s="81"/>
      <c r="BY102" s="81"/>
      <c r="BZ102" s="81"/>
      <c r="CA102" s="81"/>
      <c r="CB102" s="81"/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  <c r="CM102" s="81"/>
      <c r="CN102" s="81"/>
      <c r="CO102" s="81"/>
      <c r="CP102" s="81"/>
      <c r="CQ102" s="81"/>
      <c r="CR102" s="81"/>
      <c r="CS102" s="81"/>
      <c r="CT102" s="81"/>
      <c r="CU102" s="81"/>
      <c r="CV102" s="81"/>
      <c r="CW102" s="81"/>
      <c r="CX102" s="81"/>
      <c r="CY102" s="81"/>
      <c r="CZ102" s="81"/>
      <c r="DA102" s="81"/>
      <c r="DB102" s="81"/>
      <c r="DC102" s="81"/>
      <c r="DD102" s="81"/>
      <c r="DE102" s="81"/>
      <c r="DF102" s="81"/>
      <c r="DG102" s="81"/>
      <c r="DH102" s="81"/>
      <c r="DI102" s="81"/>
      <c r="DJ102" s="81"/>
      <c r="DK102" s="81"/>
      <c r="DL102" s="81"/>
      <c r="DM102" s="81"/>
      <c r="DN102" s="81"/>
      <c r="DO102" s="81"/>
      <c r="DP102" s="81"/>
      <c r="DQ102" s="81"/>
      <c r="DR102" s="81"/>
      <c r="DS102" s="81"/>
      <c r="DT102" s="81"/>
      <c r="DU102" s="81"/>
      <c r="DV102" s="81"/>
      <c r="DW102" s="81"/>
      <c r="DX102" s="81"/>
      <c r="DY102" s="81"/>
      <c r="DZ102" s="81"/>
      <c r="EA102" s="81"/>
    </row>
    <row r="103" spans="2:131" ht="17.100000000000001" customHeight="1">
      <c r="B103" s="92">
        <v>3</v>
      </c>
      <c r="C103" s="92" t="s">
        <v>655</v>
      </c>
      <c r="D103" s="93"/>
      <c r="E103" s="94"/>
      <c r="F103" s="94" t="s">
        <v>919</v>
      </c>
      <c r="G103" s="94"/>
      <c r="H103" s="95"/>
      <c r="I103" s="118" t="str">
        <f>IF(COUNTIF(I104:I106,"●")&gt;0,"●","")</f>
        <v/>
      </c>
      <c r="J103" s="91" t="str">
        <f t="shared" ref="J103:K103" si="90">IF(COUNTIF(J104:J106,"●")&gt;0,"●","")</f>
        <v/>
      </c>
      <c r="K103" s="91" t="str">
        <f t="shared" si="90"/>
        <v/>
      </c>
      <c r="L103" s="118" t="str">
        <f>IF(COUNTIF(L104:L106,"●")&gt;0,"●","")</f>
        <v>●</v>
      </c>
      <c r="M103" s="91" t="str">
        <f t="shared" ref="M103:U103" si="91">IF(COUNTIF(M104:M106,"●")&gt;0,"●","")</f>
        <v/>
      </c>
      <c r="N103" s="144" t="str">
        <f t="shared" si="91"/>
        <v/>
      </c>
      <c r="O103" s="118" t="str">
        <f>IF(COUNTIF(O104:O106,"●")&gt;0,"●","")</f>
        <v>●</v>
      </c>
      <c r="P103" s="144" t="str">
        <f t="shared" ref="P103" si="92">IF(COUNTIF(P104:P106,"●")&gt;0,"●","")</f>
        <v/>
      </c>
      <c r="Q103" s="144" t="str">
        <f t="shared" si="91"/>
        <v/>
      </c>
      <c r="R103" s="144" t="str">
        <f t="shared" si="91"/>
        <v/>
      </c>
      <c r="S103" s="144" t="str">
        <f t="shared" si="91"/>
        <v/>
      </c>
      <c r="T103" s="144" t="str">
        <f t="shared" si="91"/>
        <v/>
      </c>
      <c r="U103" s="144" t="str">
        <f t="shared" si="91"/>
        <v/>
      </c>
      <c r="V103" s="96">
        <f>IF(MIN(V104:V106)=0,"",MIN(V104:V106))</f>
        <v>45138</v>
      </c>
      <c r="W103" s="97">
        <f ca="1">IF(AND(V103="",X103="")=TRUE,"",IF(AND(V103&gt;0,X103="")=TRUE,NETWORKDAYS(V103,TODAY(),Holidays),NETWORKDAYS(V103,X103,Holidays)))</f>
        <v>15</v>
      </c>
      <c r="X103" s="138">
        <f>IF(MAX(X104:X106)=0,"",MAX(X104:X106))</f>
        <v>45159</v>
      </c>
      <c r="Y103" s="96">
        <f>IF(MIN(Y104:Y106)=0,"",MIN(Y104:Y106))</f>
        <v>45139</v>
      </c>
      <c r="Z103" s="97">
        <f t="shared" ref="Z103:Z105" ca="1" si="93">IF(AND(Y103="",AA103="")=TRUE,"",IF(AND(Y103&gt;0,AA103="")=TRUE,NETWORKDAYS(Y103,TODAY(),Holidays),NETWORKDAYS(Y103,AA103,Holidays)))</f>
        <v>44</v>
      </c>
      <c r="AA103" s="98">
        <f>IF(MAX(AA104:AA106)=0,"",MAX(AA104:AA106))</f>
        <v>45204</v>
      </c>
      <c r="AB103" s="99">
        <f>IFERROR(AVERAGE(AB104:AB106),"")</f>
        <v>1</v>
      </c>
      <c r="AC103" s="100" t="str">
        <f t="shared" si="58"/>
        <v>Completed</v>
      </c>
      <c r="AD103" s="154"/>
      <c r="AE103" s="80">
        <v>45217</v>
      </c>
      <c r="AF103" s="81"/>
      <c r="AG103" s="81"/>
      <c r="AH103" s="81"/>
      <c r="AI103" s="81"/>
      <c r="AJ103" s="81"/>
      <c r="AK103" s="81"/>
      <c r="AL103" s="81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  <c r="BA103" s="81"/>
      <c r="BB103" s="81"/>
      <c r="BC103" s="81"/>
      <c r="BD103" s="81"/>
      <c r="BE103" s="81"/>
      <c r="BF103" s="81"/>
      <c r="BG103" s="81"/>
      <c r="BH103" s="81"/>
      <c r="BI103" s="81"/>
      <c r="BJ103" s="81"/>
      <c r="BK103" s="81"/>
      <c r="BL103" s="81"/>
      <c r="BM103" s="81"/>
      <c r="BN103" s="81"/>
      <c r="BO103" s="81"/>
      <c r="BP103" s="81"/>
      <c r="BQ103" s="81"/>
      <c r="BR103" s="81"/>
      <c r="BS103" s="81"/>
      <c r="BT103" s="81"/>
      <c r="BU103" s="81"/>
      <c r="BV103" s="81"/>
      <c r="BW103" s="81"/>
      <c r="BX103" s="81"/>
      <c r="BY103" s="81"/>
      <c r="BZ103" s="81"/>
      <c r="CA103" s="81"/>
      <c r="CB103" s="81"/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  <c r="CM103" s="81"/>
      <c r="CN103" s="81"/>
      <c r="CO103" s="81"/>
      <c r="CP103" s="81"/>
      <c r="CQ103" s="81"/>
      <c r="CR103" s="81"/>
      <c r="CS103" s="81"/>
      <c r="CT103" s="81"/>
      <c r="CU103" s="81"/>
      <c r="CV103" s="81"/>
      <c r="CW103" s="81"/>
      <c r="CX103" s="81"/>
      <c r="CY103" s="81"/>
      <c r="CZ103" s="81"/>
      <c r="DA103" s="81"/>
      <c r="DB103" s="81"/>
      <c r="DC103" s="81"/>
      <c r="DD103" s="81"/>
      <c r="DE103" s="81"/>
      <c r="DF103" s="81"/>
      <c r="DG103" s="81"/>
      <c r="DH103" s="81"/>
      <c r="DI103" s="81"/>
      <c r="DJ103" s="81"/>
      <c r="DK103" s="81"/>
      <c r="DL103" s="81"/>
      <c r="DM103" s="81"/>
      <c r="DN103" s="81"/>
      <c r="DO103" s="81"/>
      <c r="DP103" s="81"/>
      <c r="DQ103" s="81"/>
      <c r="DR103" s="81"/>
      <c r="DS103" s="81"/>
      <c r="DT103" s="81"/>
      <c r="DU103" s="81"/>
      <c r="DV103" s="81"/>
      <c r="DW103" s="81"/>
      <c r="DX103" s="81"/>
      <c r="DY103" s="81"/>
      <c r="DZ103" s="81"/>
      <c r="EA103" s="81"/>
    </row>
    <row r="104" spans="2:131" ht="17.100000000000001" customHeight="1">
      <c r="B104" s="58">
        <v>4</v>
      </c>
      <c r="C104" s="58" t="s">
        <v>658</v>
      </c>
      <c r="D104" s="59"/>
      <c r="E104" s="60"/>
      <c r="F104" s="60"/>
      <c r="G104" s="60" t="s">
        <v>920</v>
      </c>
      <c r="H104" s="62"/>
      <c r="I104" s="123"/>
      <c r="J104" s="61"/>
      <c r="K104" s="61"/>
      <c r="L104" s="123" t="s">
        <v>836</v>
      </c>
      <c r="M104" s="145"/>
      <c r="N104" s="145"/>
      <c r="O104" s="123" t="s">
        <v>836</v>
      </c>
      <c r="P104" s="145"/>
      <c r="Q104" s="61"/>
      <c r="R104" s="61"/>
      <c r="S104" s="61"/>
      <c r="T104" s="61"/>
      <c r="U104" s="63"/>
      <c r="V104" s="64">
        <v>45138</v>
      </c>
      <c r="W104" s="61">
        <v>10</v>
      </c>
      <c r="X104" s="140">
        <f t="shared" ref="X104:X105" si="94">IF(AND(V104="",W104="")=TRUE,"",WORKDAY(V104,W104-1,Holidays))</f>
        <v>45149</v>
      </c>
      <c r="Y104" s="64">
        <v>45139</v>
      </c>
      <c r="Z104" s="126">
        <f t="shared" ca="1" si="93"/>
        <v>16</v>
      </c>
      <c r="AA104" s="65">
        <v>45161</v>
      </c>
      <c r="AB104" s="66">
        <v>1</v>
      </c>
      <c r="AC104" s="125" t="str">
        <f t="shared" si="58"/>
        <v>Completed</v>
      </c>
      <c r="AD104" s="152" t="s">
        <v>981</v>
      </c>
      <c r="AE104" s="80">
        <v>45218</v>
      </c>
      <c r="AF104" s="81"/>
      <c r="AG104" s="81"/>
      <c r="AH104" s="81"/>
      <c r="AI104" s="81"/>
      <c r="AJ104" s="81"/>
      <c r="AK104" s="81"/>
      <c r="AL104" s="81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  <c r="BA104" s="81"/>
      <c r="BB104" s="81"/>
      <c r="BC104" s="81"/>
      <c r="BD104" s="81"/>
      <c r="BE104" s="81"/>
      <c r="BF104" s="81"/>
      <c r="BG104" s="81"/>
      <c r="BH104" s="81"/>
      <c r="BI104" s="81"/>
      <c r="BJ104" s="81"/>
      <c r="BK104" s="81"/>
      <c r="BL104" s="81"/>
      <c r="BM104" s="81"/>
      <c r="BN104" s="81"/>
      <c r="BO104" s="81"/>
      <c r="BP104" s="81"/>
      <c r="BQ104" s="81"/>
      <c r="BR104" s="81"/>
      <c r="BS104" s="81"/>
      <c r="BT104" s="81"/>
      <c r="BU104" s="81"/>
      <c r="BV104" s="81"/>
      <c r="BW104" s="81"/>
      <c r="BX104" s="81"/>
      <c r="BY104" s="81"/>
      <c r="BZ104" s="81"/>
      <c r="CA104" s="81"/>
      <c r="CB104" s="81"/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  <c r="CM104" s="81"/>
      <c r="CN104" s="81"/>
      <c r="CO104" s="81"/>
      <c r="CP104" s="81"/>
      <c r="CQ104" s="81"/>
      <c r="CR104" s="81"/>
      <c r="CS104" s="81"/>
      <c r="CT104" s="81"/>
      <c r="CU104" s="81"/>
      <c r="CV104" s="81"/>
      <c r="CW104" s="81"/>
      <c r="CX104" s="81"/>
      <c r="CY104" s="81"/>
      <c r="CZ104" s="81"/>
      <c r="DA104" s="81"/>
      <c r="DB104" s="81"/>
      <c r="DC104" s="81"/>
      <c r="DD104" s="81"/>
      <c r="DE104" s="81"/>
      <c r="DF104" s="81"/>
      <c r="DG104" s="81"/>
      <c r="DH104" s="81"/>
      <c r="DI104" s="81"/>
      <c r="DJ104" s="81"/>
      <c r="DK104" s="81"/>
      <c r="DL104" s="81"/>
      <c r="DM104" s="81"/>
      <c r="DN104" s="81"/>
      <c r="DO104" s="81"/>
      <c r="DP104" s="81"/>
      <c r="DQ104" s="81"/>
      <c r="DR104" s="81"/>
      <c r="DS104" s="81"/>
      <c r="DT104" s="81"/>
      <c r="DU104" s="81"/>
      <c r="DV104" s="81"/>
      <c r="DW104" s="81"/>
      <c r="DX104" s="81"/>
      <c r="DY104" s="81"/>
      <c r="DZ104" s="81"/>
      <c r="EA104" s="81"/>
    </row>
    <row r="105" spans="2:131" ht="17.100000000000001" customHeight="1">
      <c r="B105" s="58">
        <v>4</v>
      </c>
      <c r="C105" s="58" t="s">
        <v>658</v>
      </c>
      <c r="D105" s="59"/>
      <c r="E105" s="60"/>
      <c r="F105" s="60"/>
      <c r="G105" s="60" t="s">
        <v>982</v>
      </c>
      <c r="H105" s="62"/>
      <c r="I105" s="123"/>
      <c r="J105" s="61"/>
      <c r="K105" s="61"/>
      <c r="L105" s="123" t="s">
        <v>836</v>
      </c>
      <c r="M105" s="145"/>
      <c r="N105" s="145"/>
      <c r="O105" s="123" t="s">
        <v>836</v>
      </c>
      <c r="P105" s="145"/>
      <c r="Q105" s="61"/>
      <c r="R105" s="61"/>
      <c r="S105" s="61"/>
      <c r="T105" s="61"/>
      <c r="U105" s="63"/>
      <c r="V105" s="64">
        <v>45138</v>
      </c>
      <c r="W105" s="61">
        <v>10</v>
      </c>
      <c r="X105" s="140">
        <f t="shared" si="94"/>
        <v>45149</v>
      </c>
      <c r="Y105" s="64">
        <v>45139</v>
      </c>
      <c r="Z105" s="126">
        <f t="shared" ca="1" si="93"/>
        <v>17</v>
      </c>
      <c r="AA105" s="65">
        <v>45162</v>
      </c>
      <c r="AB105" s="66">
        <v>1</v>
      </c>
      <c r="AC105" s="125" t="str">
        <f t="shared" si="58"/>
        <v>Completed</v>
      </c>
      <c r="AD105" s="152"/>
      <c r="AE105" s="80">
        <v>45219</v>
      </c>
      <c r="AF105" s="81"/>
      <c r="AG105" s="81"/>
      <c r="AH105" s="81"/>
      <c r="AI105" s="81"/>
      <c r="AJ105" s="81"/>
      <c r="AK105" s="81"/>
      <c r="AL105" s="81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  <c r="BA105" s="81"/>
      <c r="BB105" s="81"/>
      <c r="BC105" s="81"/>
      <c r="BD105" s="81"/>
      <c r="BE105" s="81"/>
      <c r="BF105" s="81"/>
      <c r="BG105" s="81"/>
      <c r="BH105" s="81"/>
      <c r="BI105" s="81"/>
      <c r="BJ105" s="81"/>
      <c r="BK105" s="81"/>
      <c r="BL105" s="81"/>
      <c r="BM105" s="81"/>
      <c r="BN105" s="81"/>
      <c r="BO105" s="81"/>
      <c r="BP105" s="81"/>
      <c r="BQ105" s="81"/>
      <c r="BR105" s="81"/>
      <c r="BS105" s="81"/>
      <c r="BT105" s="81"/>
      <c r="BU105" s="81"/>
      <c r="BV105" s="81"/>
      <c r="BW105" s="81"/>
      <c r="BX105" s="81"/>
      <c r="BY105" s="81"/>
      <c r="BZ105" s="81"/>
      <c r="CA105" s="81"/>
      <c r="CB105" s="81"/>
      <c r="CC105" s="81"/>
      <c r="CD105" s="81"/>
      <c r="CE105" s="81"/>
      <c r="CF105" s="81"/>
      <c r="CG105" s="81"/>
      <c r="CH105" s="81"/>
      <c r="CI105" s="81"/>
      <c r="CJ105" s="81"/>
      <c r="CK105" s="81"/>
      <c r="CL105" s="81"/>
      <c r="CM105" s="81"/>
      <c r="CN105" s="81"/>
      <c r="CO105" s="81"/>
      <c r="CP105" s="81"/>
      <c r="CQ105" s="81"/>
      <c r="CR105" s="81"/>
      <c r="CS105" s="81"/>
      <c r="CT105" s="81"/>
      <c r="CU105" s="81"/>
      <c r="CV105" s="81"/>
      <c r="CW105" s="81"/>
      <c r="CX105" s="81"/>
      <c r="CY105" s="81"/>
      <c r="CZ105" s="81"/>
      <c r="DA105" s="81"/>
      <c r="DB105" s="81"/>
      <c r="DC105" s="81"/>
      <c r="DD105" s="81"/>
      <c r="DE105" s="81"/>
      <c r="DF105" s="81"/>
      <c r="DG105" s="81"/>
      <c r="DH105" s="81"/>
      <c r="DI105" s="81"/>
      <c r="DJ105" s="81"/>
      <c r="DK105" s="81"/>
      <c r="DL105" s="81"/>
      <c r="DM105" s="81"/>
      <c r="DN105" s="81"/>
      <c r="DO105" s="81"/>
      <c r="DP105" s="81"/>
      <c r="DQ105" s="81"/>
      <c r="DR105" s="81"/>
      <c r="DS105" s="81"/>
      <c r="DT105" s="81"/>
      <c r="DU105" s="81"/>
      <c r="DV105" s="81"/>
      <c r="DW105" s="81"/>
      <c r="DX105" s="81"/>
      <c r="DY105" s="81"/>
      <c r="DZ105" s="81"/>
      <c r="EA105" s="81"/>
    </row>
    <row r="106" spans="2:131" ht="17.100000000000001" customHeight="1">
      <c r="B106" s="58">
        <v>4</v>
      </c>
      <c r="C106" s="58" t="s">
        <v>658</v>
      </c>
      <c r="D106" s="59"/>
      <c r="E106" s="60"/>
      <c r="F106" s="60"/>
      <c r="G106" s="60" t="s">
        <v>983</v>
      </c>
      <c r="H106" s="62"/>
      <c r="I106" s="123"/>
      <c r="J106" s="61"/>
      <c r="K106" s="61"/>
      <c r="L106" s="123" t="s">
        <v>836</v>
      </c>
      <c r="M106" s="145"/>
      <c r="N106" s="145"/>
      <c r="O106" s="123" t="s">
        <v>836</v>
      </c>
      <c r="P106" s="145"/>
      <c r="Q106" s="61"/>
      <c r="R106" s="61"/>
      <c r="S106" s="61"/>
      <c r="T106" s="61"/>
      <c r="U106" s="63"/>
      <c r="V106" s="64">
        <v>45154</v>
      </c>
      <c r="W106" s="61">
        <v>4</v>
      </c>
      <c r="X106" s="140">
        <f t="shared" ref="X106" si="95">IF(AND(V106="",W106="")=TRUE,"",WORKDAY(V106,W106-1,Holidays))</f>
        <v>45159</v>
      </c>
      <c r="Y106" s="64">
        <v>45168</v>
      </c>
      <c r="Z106" s="126">
        <f t="shared" ref="Z106:Z114" ca="1" si="96">IF(AND(Y106="",AA106="")=TRUE,"",IF(AND(Y106&gt;0,AA106="")=TRUE,NETWORKDAYS(Y106,TODAY(),Holidays),NETWORKDAYS(Y106,AA106,Holidays)))</f>
        <v>24</v>
      </c>
      <c r="AA106" s="65">
        <v>45204</v>
      </c>
      <c r="AB106" s="66">
        <v>1</v>
      </c>
      <c r="AC106" s="125" t="str">
        <f t="shared" si="58"/>
        <v>Completed</v>
      </c>
      <c r="AD106" s="166" t="s">
        <v>984</v>
      </c>
      <c r="AE106" s="80">
        <v>45222</v>
      </c>
      <c r="AF106" s="81"/>
      <c r="AG106" s="81"/>
      <c r="AH106" s="81"/>
      <c r="AI106" s="81"/>
      <c r="AJ106" s="81"/>
      <c r="AK106" s="81"/>
      <c r="AL106" s="81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  <c r="BA106" s="81"/>
      <c r="BB106" s="81"/>
      <c r="BC106" s="81"/>
      <c r="BD106" s="81"/>
      <c r="BE106" s="81"/>
      <c r="BF106" s="81"/>
      <c r="BG106" s="81"/>
      <c r="BH106" s="81"/>
      <c r="BI106" s="81"/>
      <c r="BJ106" s="81"/>
      <c r="BK106" s="81"/>
      <c r="BL106" s="81"/>
      <c r="BM106" s="81"/>
      <c r="BN106" s="81"/>
      <c r="BO106" s="81"/>
      <c r="BP106" s="81"/>
      <c r="BQ106" s="81"/>
      <c r="BR106" s="81"/>
      <c r="BS106" s="81"/>
      <c r="BT106" s="81"/>
      <c r="BU106" s="81"/>
      <c r="BV106" s="81"/>
      <c r="BW106" s="81"/>
      <c r="BX106" s="81"/>
      <c r="BY106" s="81"/>
      <c r="BZ106" s="81"/>
      <c r="CA106" s="81"/>
      <c r="CB106" s="81"/>
      <c r="CC106" s="81"/>
      <c r="CD106" s="81"/>
      <c r="CE106" s="81"/>
      <c r="CF106" s="81"/>
      <c r="CG106" s="81"/>
      <c r="CH106" s="81"/>
      <c r="CI106" s="81"/>
      <c r="CJ106" s="81"/>
      <c r="CK106" s="81"/>
      <c r="CL106" s="81"/>
      <c r="CM106" s="81"/>
      <c r="CN106" s="81"/>
      <c r="CO106" s="81"/>
      <c r="CP106" s="81"/>
      <c r="CQ106" s="81"/>
      <c r="CR106" s="81"/>
      <c r="CS106" s="81"/>
      <c r="CT106" s="81"/>
      <c r="CU106" s="81"/>
      <c r="CV106" s="81"/>
      <c r="CW106" s="81"/>
      <c r="CX106" s="81"/>
      <c r="CY106" s="81"/>
      <c r="CZ106" s="81"/>
      <c r="DA106" s="81"/>
      <c r="DB106" s="81"/>
      <c r="DC106" s="81"/>
      <c r="DD106" s="81"/>
      <c r="DE106" s="81"/>
      <c r="DF106" s="81"/>
      <c r="DG106" s="81"/>
      <c r="DH106" s="81"/>
      <c r="DI106" s="81"/>
      <c r="DJ106" s="81"/>
      <c r="DK106" s="81"/>
      <c r="DL106" s="81"/>
      <c r="DM106" s="81"/>
      <c r="DN106" s="81"/>
      <c r="DO106" s="81"/>
      <c r="DP106" s="81"/>
      <c r="DQ106" s="81"/>
      <c r="DR106" s="81"/>
      <c r="DS106" s="81"/>
      <c r="DT106" s="81"/>
      <c r="DU106" s="81"/>
      <c r="DV106" s="81"/>
      <c r="DW106" s="81"/>
      <c r="DX106" s="81"/>
      <c r="DY106" s="81"/>
      <c r="DZ106" s="81"/>
      <c r="EA106" s="81"/>
    </row>
    <row r="107" spans="2:131" ht="17.100000000000001" customHeight="1">
      <c r="B107" s="92">
        <v>2</v>
      </c>
      <c r="C107" s="92" t="s">
        <v>655</v>
      </c>
      <c r="D107" s="93"/>
      <c r="E107" s="94" t="s">
        <v>985</v>
      </c>
      <c r="F107" s="94"/>
      <c r="G107" s="94"/>
      <c r="H107" s="95"/>
      <c r="I107" s="118" t="str">
        <f t="shared" ref="I107:U107" si="97">IF(COUNTIF(I108:I114,"●")&gt;0,"●","")</f>
        <v/>
      </c>
      <c r="J107" s="91" t="str">
        <f t="shared" si="97"/>
        <v/>
      </c>
      <c r="K107" s="91" t="str">
        <f t="shared" si="97"/>
        <v/>
      </c>
      <c r="L107" s="118" t="str">
        <f t="shared" si="97"/>
        <v>●</v>
      </c>
      <c r="M107" s="91" t="str">
        <f t="shared" si="97"/>
        <v/>
      </c>
      <c r="N107" s="144" t="str">
        <f t="shared" si="97"/>
        <v/>
      </c>
      <c r="O107" s="118" t="str">
        <f t="shared" ref="O107" si="98">IF(COUNTIF(O108:O114,"●")&gt;0,"●","")</f>
        <v>●</v>
      </c>
      <c r="P107" s="144" t="str">
        <f t="shared" ref="P107" si="99">IF(COUNTIF(P108:P114,"●")&gt;0,"●","")</f>
        <v/>
      </c>
      <c r="Q107" s="144" t="str">
        <f t="shared" si="97"/>
        <v/>
      </c>
      <c r="R107" s="144" t="str">
        <f t="shared" si="97"/>
        <v/>
      </c>
      <c r="S107" s="144" t="str">
        <f t="shared" si="97"/>
        <v/>
      </c>
      <c r="T107" s="144" t="str">
        <f t="shared" si="97"/>
        <v/>
      </c>
      <c r="U107" s="144" t="str">
        <f t="shared" si="97"/>
        <v/>
      </c>
      <c r="V107" s="96">
        <f>IF(MIN(V108:V114)=0,"",MIN(V108:V114))</f>
        <v>45159</v>
      </c>
      <c r="W107" s="97">
        <f ca="1">IF(AND(V107="",X107="")=TRUE,"",IF(AND(V107&gt;0,X107="")=TRUE,NETWORKDAYS(V107,TODAY(),Holidays),NETWORKDAYS(V107,X107,Holidays)))</f>
        <v>30</v>
      </c>
      <c r="X107" s="139">
        <f>IF(MAX(X108:X114)=0,"",MAX(X108:X114))</f>
        <v>45203</v>
      </c>
      <c r="Y107" s="96">
        <f>IF(MIN(Y108:Y114)=0,"",MIN(Y108:Y114))</f>
        <v>45159</v>
      </c>
      <c r="Z107" s="97">
        <f t="shared" ca="1" si="96"/>
        <v>31</v>
      </c>
      <c r="AA107" s="98">
        <f>IF(MAX(AA108:AA114)=0,"",MAX(AA108:AA114))</f>
        <v>45204</v>
      </c>
      <c r="AB107" s="99">
        <f>IFERROR(AVERAGE(AB108),"")</f>
        <v>1</v>
      </c>
      <c r="AC107" s="100" t="str">
        <f t="shared" si="58"/>
        <v>Completed</v>
      </c>
      <c r="AD107" s="154"/>
      <c r="AE107" s="80">
        <v>45223</v>
      </c>
      <c r="AF107" s="81"/>
      <c r="AG107" s="81"/>
      <c r="AH107" s="81"/>
      <c r="AI107" s="81"/>
      <c r="AJ107" s="81"/>
      <c r="AK107" s="81"/>
      <c r="AL107" s="81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  <c r="BA107" s="81"/>
      <c r="BB107" s="81"/>
      <c r="BC107" s="81"/>
      <c r="BD107" s="81"/>
      <c r="BE107" s="81"/>
      <c r="BF107" s="81"/>
      <c r="BG107" s="81"/>
      <c r="BH107" s="81"/>
      <c r="BI107" s="81"/>
      <c r="BJ107" s="81"/>
      <c r="BK107" s="81"/>
      <c r="BL107" s="81"/>
      <c r="BM107" s="81"/>
      <c r="BN107" s="81"/>
      <c r="BO107" s="81"/>
      <c r="BP107" s="81"/>
      <c r="BQ107" s="81"/>
      <c r="BR107" s="81"/>
      <c r="BS107" s="81"/>
      <c r="BT107" s="81"/>
      <c r="BU107" s="81"/>
      <c r="BV107" s="81"/>
      <c r="BW107" s="81"/>
      <c r="BX107" s="81"/>
      <c r="BY107" s="81"/>
      <c r="BZ107" s="81"/>
      <c r="CA107" s="81"/>
      <c r="CB107" s="81"/>
      <c r="CC107" s="81"/>
      <c r="CD107" s="81"/>
      <c r="CE107" s="81"/>
      <c r="CF107" s="81"/>
      <c r="CG107" s="81"/>
      <c r="CH107" s="81"/>
      <c r="CI107" s="81"/>
      <c r="CJ107" s="81"/>
      <c r="CK107" s="81"/>
      <c r="CL107" s="81"/>
      <c r="CM107" s="81"/>
      <c r="CN107" s="81"/>
      <c r="CO107" s="81"/>
      <c r="CP107" s="81"/>
      <c r="CQ107" s="81"/>
      <c r="CR107" s="81"/>
      <c r="CS107" s="81"/>
      <c r="CT107" s="81"/>
      <c r="CU107" s="81"/>
      <c r="CV107" s="81"/>
      <c r="CW107" s="81"/>
      <c r="CX107" s="81"/>
      <c r="CY107" s="81"/>
      <c r="CZ107" s="81"/>
      <c r="DA107" s="81"/>
      <c r="DB107" s="81"/>
      <c r="DC107" s="81"/>
      <c r="DD107" s="81"/>
      <c r="DE107" s="81"/>
      <c r="DF107" s="81"/>
      <c r="DG107" s="81"/>
      <c r="DH107" s="81"/>
      <c r="DI107" s="81"/>
      <c r="DJ107" s="81"/>
      <c r="DK107" s="81"/>
      <c r="DL107" s="81"/>
      <c r="DM107" s="81"/>
      <c r="DN107" s="81"/>
      <c r="DO107" s="81"/>
      <c r="DP107" s="81"/>
      <c r="DQ107" s="81"/>
      <c r="DR107" s="81"/>
      <c r="DS107" s="81"/>
      <c r="DT107" s="81"/>
      <c r="DU107" s="81"/>
      <c r="DV107" s="81"/>
      <c r="DW107" s="81"/>
      <c r="DX107" s="81"/>
      <c r="DY107" s="81"/>
      <c r="DZ107" s="81"/>
      <c r="EA107" s="81"/>
    </row>
    <row r="108" spans="2:131" ht="17.100000000000001" customHeight="1">
      <c r="B108" s="92">
        <v>3</v>
      </c>
      <c r="C108" s="92" t="s">
        <v>655</v>
      </c>
      <c r="D108" s="93"/>
      <c r="E108" s="94"/>
      <c r="F108" s="94" t="s">
        <v>986</v>
      </c>
      <c r="G108" s="94"/>
      <c r="H108" s="95"/>
      <c r="I108" s="118" t="str">
        <f t="shared" ref="I108:U108" si="100">IF(COUNTIF(I109:I114,"●")&gt;0,"●","")</f>
        <v/>
      </c>
      <c r="J108" s="91" t="str">
        <f t="shared" si="100"/>
        <v/>
      </c>
      <c r="K108" s="91" t="str">
        <f t="shared" si="100"/>
        <v/>
      </c>
      <c r="L108" s="118" t="str">
        <f t="shared" si="100"/>
        <v>●</v>
      </c>
      <c r="M108" s="91" t="str">
        <f t="shared" si="100"/>
        <v/>
      </c>
      <c r="N108" s="144" t="str">
        <f t="shared" si="100"/>
        <v/>
      </c>
      <c r="O108" s="118" t="str">
        <f t="shared" ref="O108" si="101">IF(COUNTIF(O109:O114,"●")&gt;0,"●","")</f>
        <v>●</v>
      </c>
      <c r="P108" s="144" t="str">
        <f t="shared" ref="P108" si="102">IF(COUNTIF(P109:P114,"●")&gt;0,"●","")</f>
        <v/>
      </c>
      <c r="Q108" s="144" t="str">
        <f t="shared" si="100"/>
        <v/>
      </c>
      <c r="R108" s="144" t="str">
        <f t="shared" si="100"/>
        <v/>
      </c>
      <c r="S108" s="144" t="str">
        <f t="shared" si="100"/>
        <v/>
      </c>
      <c r="T108" s="144" t="str">
        <f t="shared" si="100"/>
        <v/>
      </c>
      <c r="U108" s="144" t="str">
        <f t="shared" si="100"/>
        <v/>
      </c>
      <c r="V108" s="96">
        <f>IF(MIN(V109:V114)=0,"",MIN(V109:V114))</f>
        <v>45159</v>
      </c>
      <c r="W108" s="97">
        <f ca="1">IF(AND(V108="",X108="")=TRUE,"",IF(AND(V108&gt;0,X108="")=TRUE,NETWORKDAYS(V108,TODAY(),Holidays),NETWORKDAYS(V108,X108,Holidays)))</f>
        <v>30</v>
      </c>
      <c r="X108" s="138">
        <f>IF(MAX(X109:X114)=0,"",MAX(X109:X114))</f>
        <v>45203</v>
      </c>
      <c r="Y108" s="96">
        <f>IF(MIN(Y109:Y114)=0,"",MIN(Y109:Y114))</f>
        <v>45159</v>
      </c>
      <c r="Z108" s="97">
        <f t="shared" ca="1" si="96"/>
        <v>31</v>
      </c>
      <c r="AA108" s="98">
        <f>IF(MAX(AA109:AA114)=0,"",MAX(AA109:AA114))</f>
        <v>45204</v>
      </c>
      <c r="AB108" s="99">
        <f>IFERROR(AVERAGE(AB109:AB114),"")</f>
        <v>1</v>
      </c>
      <c r="AC108" s="100" t="str">
        <f t="shared" si="58"/>
        <v>Completed</v>
      </c>
      <c r="AD108" s="154"/>
      <c r="AE108" s="80">
        <v>45224</v>
      </c>
      <c r="AF108" s="81"/>
      <c r="AG108" s="81"/>
      <c r="AH108" s="81"/>
      <c r="AI108" s="81"/>
      <c r="AJ108" s="81"/>
      <c r="AK108" s="81"/>
      <c r="AL108" s="81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  <c r="BA108" s="81"/>
      <c r="BB108" s="81"/>
      <c r="BC108" s="81"/>
      <c r="BD108" s="81"/>
      <c r="BE108" s="81"/>
      <c r="BF108" s="81"/>
      <c r="BG108" s="81"/>
      <c r="BH108" s="81"/>
      <c r="BI108" s="81"/>
      <c r="BJ108" s="81"/>
      <c r="BK108" s="81"/>
      <c r="BL108" s="81"/>
      <c r="BM108" s="81"/>
      <c r="BN108" s="81"/>
      <c r="BO108" s="81"/>
      <c r="BP108" s="81"/>
      <c r="BQ108" s="81"/>
      <c r="BR108" s="81"/>
      <c r="BS108" s="81"/>
      <c r="BT108" s="81"/>
      <c r="BU108" s="81"/>
      <c r="BV108" s="81"/>
      <c r="BW108" s="81"/>
      <c r="BX108" s="81"/>
      <c r="BY108" s="81"/>
      <c r="BZ108" s="81"/>
      <c r="CA108" s="81"/>
      <c r="CB108" s="81"/>
      <c r="CC108" s="81"/>
      <c r="CD108" s="81"/>
      <c r="CE108" s="81"/>
      <c r="CF108" s="81"/>
      <c r="CG108" s="81"/>
      <c r="CH108" s="81"/>
      <c r="CI108" s="81"/>
      <c r="CJ108" s="81"/>
      <c r="CK108" s="81"/>
      <c r="CL108" s="81"/>
      <c r="CM108" s="81"/>
      <c r="CN108" s="81"/>
      <c r="CO108" s="81"/>
      <c r="CP108" s="81"/>
      <c r="CQ108" s="81"/>
      <c r="CR108" s="81"/>
      <c r="CS108" s="81"/>
      <c r="CT108" s="81"/>
      <c r="CU108" s="81"/>
      <c r="CV108" s="81"/>
      <c r="CW108" s="81"/>
      <c r="CX108" s="81"/>
      <c r="CY108" s="81"/>
      <c r="CZ108" s="81"/>
      <c r="DA108" s="81"/>
      <c r="DB108" s="81"/>
      <c r="DC108" s="81"/>
      <c r="DD108" s="81"/>
      <c r="DE108" s="81"/>
      <c r="DF108" s="81"/>
      <c r="DG108" s="81"/>
      <c r="DH108" s="81"/>
      <c r="DI108" s="81"/>
      <c r="DJ108" s="81"/>
      <c r="DK108" s="81"/>
      <c r="DL108" s="81"/>
      <c r="DM108" s="81"/>
      <c r="DN108" s="81"/>
      <c r="DO108" s="81"/>
      <c r="DP108" s="81"/>
      <c r="DQ108" s="81"/>
      <c r="DR108" s="81"/>
      <c r="DS108" s="81"/>
      <c r="DT108" s="81"/>
      <c r="DU108" s="81"/>
      <c r="DV108" s="81"/>
      <c r="DW108" s="81"/>
      <c r="DX108" s="81"/>
      <c r="DY108" s="81"/>
      <c r="DZ108" s="81"/>
      <c r="EA108" s="81"/>
    </row>
    <row r="109" spans="2:131" ht="16.5" customHeight="1">
      <c r="B109" s="58">
        <v>4</v>
      </c>
      <c r="C109" s="58" t="s">
        <v>658</v>
      </c>
      <c r="D109" s="59"/>
      <c r="E109" s="60"/>
      <c r="F109" s="60"/>
      <c r="G109" s="60" t="s">
        <v>925</v>
      </c>
      <c r="H109" s="62"/>
      <c r="I109" s="123"/>
      <c r="J109" s="61"/>
      <c r="K109" s="61"/>
      <c r="L109" s="123" t="s">
        <v>836</v>
      </c>
      <c r="M109" s="145"/>
      <c r="N109" s="145"/>
      <c r="O109" s="123" t="s">
        <v>836</v>
      </c>
      <c r="P109" s="61"/>
      <c r="Q109" s="61"/>
      <c r="R109" s="61"/>
      <c r="S109" s="61"/>
      <c r="T109" s="61"/>
      <c r="U109" s="63"/>
      <c r="V109" s="64">
        <v>45159</v>
      </c>
      <c r="W109" s="61">
        <v>15</v>
      </c>
      <c r="X109" s="140">
        <f t="shared" ref="X109:X114" si="103">IF(AND(V109="",W109="")=TRUE,"",WORKDAY(V109,W109-1,Holidays))</f>
        <v>45177</v>
      </c>
      <c r="Y109" s="64">
        <v>45159</v>
      </c>
      <c r="Z109" s="126">
        <f t="shared" ca="1" si="96"/>
        <v>3</v>
      </c>
      <c r="AA109" s="65">
        <v>45161</v>
      </c>
      <c r="AB109" s="66">
        <v>1</v>
      </c>
      <c r="AC109" s="125" t="str">
        <f t="shared" si="58"/>
        <v>Completed</v>
      </c>
      <c r="AD109" s="152"/>
      <c r="AE109" s="80">
        <v>45225</v>
      </c>
      <c r="AF109" s="81"/>
      <c r="AG109" s="81"/>
      <c r="AH109" s="81"/>
      <c r="AI109" s="81"/>
      <c r="AJ109" s="81"/>
      <c r="AK109" s="81"/>
      <c r="AL109" s="81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  <c r="BA109" s="81"/>
      <c r="BB109" s="81"/>
      <c r="BC109" s="81"/>
      <c r="BD109" s="81"/>
      <c r="BE109" s="81"/>
      <c r="BF109" s="81"/>
      <c r="BG109" s="81"/>
      <c r="BH109" s="81"/>
      <c r="BI109" s="81"/>
      <c r="BJ109" s="81"/>
      <c r="BK109" s="81"/>
      <c r="BL109" s="81"/>
      <c r="BM109" s="81"/>
      <c r="BN109" s="81"/>
      <c r="BO109" s="81"/>
      <c r="BP109" s="81"/>
      <c r="BQ109" s="81"/>
      <c r="BR109" s="81"/>
      <c r="BS109" s="81"/>
      <c r="BT109" s="81"/>
      <c r="BU109" s="81"/>
      <c r="BV109" s="81"/>
      <c r="BW109" s="81"/>
      <c r="BX109" s="81"/>
      <c r="BY109" s="81"/>
      <c r="BZ109" s="81"/>
      <c r="CA109" s="81"/>
      <c r="CB109" s="81"/>
      <c r="CC109" s="81"/>
      <c r="CD109" s="81"/>
      <c r="CE109" s="81"/>
      <c r="CF109" s="81"/>
      <c r="CG109" s="81"/>
      <c r="CH109" s="81"/>
      <c r="CI109" s="81"/>
      <c r="CJ109" s="81"/>
      <c r="CK109" s="81"/>
      <c r="CL109" s="81"/>
      <c r="CM109" s="81"/>
      <c r="CN109" s="81"/>
      <c r="CO109" s="81"/>
      <c r="CP109" s="81"/>
      <c r="CQ109" s="81"/>
      <c r="CR109" s="81"/>
      <c r="CS109" s="81"/>
      <c r="CT109" s="81"/>
      <c r="CU109" s="81"/>
      <c r="CV109" s="81"/>
      <c r="CW109" s="81"/>
      <c r="CX109" s="81"/>
      <c r="CY109" s="81"/>
      <c r="CZ109" s="81"/>
      <c r="DA109" s="81"/>
      <c r="DB109" s="81"/>
      <c r="DC109" s="81"/>
      <c r="DD109" s="81"/>
      <c r="DE109" s="81"/>
      <c r="DF109" s="81"/>
      <c r="DG109" s="81"/>
      <c r="DH109" s="81"/>
      <c r="DI109" s="81"/>
      <c r="DJ109" s="81"/>
      <c r="DK109" s="81"/>
      <c r="DL109" s="81"/>
      <c r="DM109" s="81"/>
      <c r="DN109" s="81"/>
      <c r="DO109" s="81"/>
      <c r="DP109" s="81"/>
      <c r="DQ109" s="81"/>
      <c r="DR109" s="81"/>
      <c r="DS109" s="81"/>
      <c r="DT109" s="81"/>
      <c r="DU109" s="81"/>
      <c r="DV109" s="81"/>
      <c r="DW109" s="81"/>
      <c r="DX109" s="81"/>
      <c r="DY109" s="81"/>
      <c r="DZ109" s="81"/>
      <c r="EA109" s="81"/>
    </row>
    <row r="110" spans="2:131" ht="17.100000000000001" customHeight="1">
      <c r="B110" s="58">
        <v>4</v>
      </c>
      <c r="C110" s="58" t="s">
        <v>658</v>
      </c>
      <c r="D110" s="59"/>
      <c r="E110" s="60"/>
      <c r="F110" s="60"/>
      <c r="G110" s="60" t="s">
        <v>987</v>
      </c>
      <c r="H110" s="62"/>
      <c r="I110" s="123"/>
      <c r="J110" s="61"/>
      <c r="K110" s="61"/>
      <c r="L110" s="123" t="s">
        <v>836</v>
      </c>
      <c r="M110" s="145"/>
      <c r="N110" s="145"/>
      <c r="O110" s="123" t="s">
        <v>836</v>
      </c>
      <c r="P110" s="61"/>
      <c r="Q110" s="61"/>
      <c r="R110" s="61"/>
      <c r="S110" s="61"/>
      <c r="T110" s="61"/>
      <c r="U110" s="63"/>
      <c r="V110" s="64">
        <v>45159</v>
      </c>
      <c r="W110" s="61">
        <v>15</v>
      </c>
      <c r="X110" s="140">
        <f t="shared" si="103"/>
        <v>45177</v>
      </c>
      <c r="Y110" s="64">
        <v>45166</v>
      </c>
      <c r="Z110" s="126">
        <f t="shared" ca="1" si="96"/>
        <v>23</v>
      </c>
      <c r="AA110" s="65">
        <v>45196</v>
      </c>
      <c r="AB110" s="66">
        <v>1</v>
      </c>
      <c r="AC110" s="125" t="str">
        <f t="shared" si="58"/>
        <v>Completed</v>
      </c>
      <c r="AD110" s="166" t="s">
        <v>988</v>
      </c>
      <c r="AE110" s="80">
        <v>45226</v>
      </c>
      <c r="AF110" s="81"/>
      <c r="AG110" s="81"/>
      <c r="AH110" s="81"/>
      <c r="AI110" s="81"/>
      <c r="AJ110" s="81"/>
      <c r="AK110" s="81"/>
      <c r="AL110" s="81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  <c r="BA110" s="81"/>
      <c r="BB110" s="81"/>
      <c r="BC110" s="81"/>
      <c r="BD110" s="81"/>
      <c r="BE110" s="81"/>
      <c r="BF110" s="81"/>
      <c r="BG110" s="81"/>
      <c r="BH110" s="81"/>
      <c r="BI110" s="81"/>
      <c r="BJ110" s="81"/>
      <c r="BK110" s="81"/>
      <c r="BL110" s="81"/>
      <c r="BM110" s="81"/>
      <c r="BN110" s="81"/>
      <c r="BO110" s="81"/>
      <c r="BP110" s="81"/>
      <c r="BQ110" s="81"/>
      <c r="BR110" s="81"/>
      <c r="BS110" s="81"/>
      <c r="BT110" s="81"/>
      <c r="BU110" s="81"/>
      <c r="BV110" s="81"/>
      <c r="BW110" s="81"/>
      <c r="BX110" s="81"/>
      <c r="BY110" s="81"/>
      <c r="BZ110" s="81"/>
      <c r="CA110" s="81"/>
      <c r="CB110" s="81"/>
      <c r="CC110" s="81"/>
      <c r="CD110" s="81"/>
      <c r="CE110" s="81"/>
      <c r="CF110" s="81"/>
      <c r="CG110" s="81"/>
      <c r="CH110" s="81"/>
      <c r="CI110" s="81"/>
      <c r="CJ110" s="81"/>
      <c r="CK110" s="81"/>
      <c r="CL110" s="81"/>
      <c r="CM110" s="81"/>
      <c r="CN110" s="81"/>
      <c r="CO110" s="81"/>
      <c r="CP110" s="81"/>
      <c r="CQ110" s="81"/>
      <c r="CR110" s="81"/>
      <c r="CS110" s="81"/>
      <c r="CT110" s="81"/>
      <c r="CU110" s="81"/>
      <c r="CV110" s="81"/>
      <c r="CW110" s="81"/>
      <c r="CX110" s="81"/>
      <c r="CY110" s="81"/>
      <c r="CZ110" s="81"/>
      <c r="DA110" s="81"/>
      <c r="DB110" s="81"/>
      <c r="DC110" s="81"/>
      <c r="DD110" s="81"/>
      <c r="DE110" s="81"/>
      <c r="DF110" s="81"/>
      <c r="DG110" s="81"/>
      <c r="DH110" s="81"/>
      <c r="DI110" s="81"/>
      <c r="DJ110" s="81"/>
      <c r="DK110" s="81"/>
      <c r="DL110" s="81"/>
      <c r="DM110" s="81"/>
      <c r="DN110" s="81"/>
      <c r="DO110" s="81"/>
      <c r="DP110" s="81"/>
      <c r="DQ110" s="81"/>
      <c r="DR110" s="81"/>
      <c r="DS110" s="81"/>
      <c r="DT110" s="81"/>
      <c r="DU110" s="81"/>
      <c r="DV110" s="81"/>
      <c r="DW110" s="81"/>
      <c r="DX110" s="81"/>
      <c r="DY110" s="81"/>
      <c r="DZ110" s="81"/>
      <c r="EA110" s="81"/>
    </row>
    <row r="111" spans="2:131" ht="17.100000000000001" customHeight="1">
      <c r="B111" s="58">
        <v>4</v>
      </c>
      <c r="C111" s="58" t="s">
        <v>658</v>
      </c>
      <c r="D111" s="59"/>
      <c r="E111" s="60"/>
      <c r="F111" s="60"/>
      <c r="G111" s="60" t="s">
        <v>989</v>
      </c>
      <c r="H111" s="62"/>
      <c r="I111" s="123"/>
      <c r="J111" s="61"/>
      <c r="K111" s="61"/>
      <c r="L111" s="123" t="s">
        <v>836</v>
      </c>
      <c r="M111" s="145"/>
      <c r="N111" s="145"/>
      <c r="O111" s="123" t="s">
        <v>836</v>
      </c>
      <c r="P111" s="61"/>
      <c r="Q111" s="61"/>
      <c r="R111" s="61"/>
      <c r="S111" s="61"/>
      <c r="T111" s="61"/>
      <c r="U111" s="63"/>
      <c r="V111" s="64">
        <v>45159</v>
      </c>
      <c r="W111" s="61">
        <v>15</v>
      </c>
      <c r="X111" s="140">
        <f t="shared" si="103"/>
        <v>45177</v>
      </c>
      <c r="Y111" s="64">
        <v>45166</v>
      </c>
      <c r="Z111" s="126">
        <f t="shared" ca="1" si="96"/>
        <v>23</v>
      </c>
      <c r="AA111" s="65">
        <v>45196</v>
      </c>
      <c r="AB111" s="66">
        <v>1</v>
      </c>
      <c r="AC111" s="125" t="str">
        <f t="shared" si="58"/>
        <v>Completed</v>
      </c>
      <c r="AD111" s="166" t="s">
        <v>990</v>
      </c>
      <c r="AE111" s="80">
        <v>45229</v>
      </c>
      <c r="AF111" s="81"/>
      <c r="AG111" s="81"/>
      <c r="AH111" s="81"/>
      <c r="AI111" s="81"/>
      <c r="AJ111" s="81"/>
      <c r="AK111" s="81"/>
      <c r="AL111" s="81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  <c r="BA111" s="81"/>
      <c r="BB111" s="81"/>
      <c r="BC111" s="81"/>
      <c r="BD111" s="81"/>
      <c r="BE111" s="81"/>
      <c r="BF111" s="81"/>
      <c r="BG111" s="81"/>
      <c r="BH111" s="81"/>
      <c r="BI111" s="81"/>
      <c r="BJ111" s="81"/>
      <c r="BK111" s="81"/>
      <c r="BL111" s="81"/>
      <c r="BM111" s="81"/>
      <c r="BN111" s="81"/>
      <c r="BO111" s="81"/>
      <c r="BP111" s="81"/>
      <c r="BQ111" s="81"/>
      <c r="BR111" s="81"/>
      <c r="BS111" s="81"/>
      <c r="BT111" s="81"/>
      <c r="BU111" s="81"/>
      <c r="BV111" s="81"/>
      <c r="BW111" s="81"/>
      <c r="BX111" s="81"/>
      <c r="BY111" s="81"/>
      <c r="BZ111" s="81"/>
      <c r="CA111" s="81"/>
      <c r="CB111" s="81"/>
      <c r="CC111" s="81"/>
      <c r="CD111" s="81"/>
      <c r="CE111" s="81"/>
      <c r="CF111" s="81"/>
      <c r="CG111" s="81"/>
      <c r="CH111" s="81"/>
      <c r="CI111" s="81"/>
      <c r="CJ111" s="81"/>
      <c r="CK111" s="81"/>
      <c r="CL111" s="81"/>
      <c r="CM111" s="81"/>
      <c r="CN111" s="81"/>
      <c r="CO111" s="81"/>
      <c r="CP111" s="81"/>
      <c r="CQ111" s="81"/>
      <c r="CR111" s="81"/>
      <c r="CS111" s="81"/>
      <c r="CT111" s="81"/>
      <c r="CU111" s="81"/>
      <c r="CV111" s="81"/>
      <c r="CW111" s="81"/>
      <c r="CX111" s="81"/>
      <c r="CY111" s="81"/>
      <c r="CZ111" s="81"/>
      <c r="DA111" s="81"/>
      <c r="DB111" s="81"/>
      <c r="DC111" s="81"/>
      <c r="DD111" s="81"/>
      <c r="DE111" s="81"/>
      <c r="DF111" s="81"/>
      <c r="DG111" s="81"/>
      <c r="DH111" s="81"/>
      <c r="DI111" s="81"/>
      <c r="DJ111" s="81"/>
      <c r="DK111" s="81"/>
      <c r="DL111" s="81"/>
      <c r="DM111" s="81"/>
      <c r="DN111" s="81"/>
      <c r="DO111" s="81"/>
      <c r="DP111" s="81"/>
      <c r="DQ111" s="81"/>
      <c r="DR111" s="81"/>
      <c r="DS111" s="81"/>
      <c r="DT111" s="81"/>
      <c r="DU111" s="81"/>
      <c r="DV111" s="81"/>
      <c r="DW111" s="81"/>
      <c r="DX111" s="81"/>
      <c r="DY111" s="81"/>
      <c r="DZ111" s="81"/>
      <c r="EA111" s="81"/>
    </row>
    <row r="112" spans="2:131" ht="17.100000000000001" customHeight="1">
      <c r="B112" s="58">
        <v>4</v>
      </c>
      <c r="C112" s="58" t="s">
        <v>658</v>
      </c>
      <c r="D112" s="59"/>
      <c r="E112" s="60"/>
      <c r="F112" s="60"/>
      <c r="G112" s="60" t="s">
        <v>991</v>
      </c>
      <c r="H112" s="62"/>
      <c r="I112" s="123"/>
      <c r="J112" s="61"/>
      <c r="K112" s="61"/>
      <c r="L112" s="123" t="s">
        <v>836</v>
      </c>
      <c r="M112" s="145"/>
      <c r="N112" s="145"/>
      <c r="O112" s="123" t="s">
        <v>836</v>
      </c>
      <c r="P112" s="61"/>
      <c r="Q112" s="61"/>
      <c r="R112" s="61"/>
      <c r="S112" s="61"/>
      <c r="T112" s="61"/>
      <c r="U112" s="63"/>
      <c r="V112" s="64">
        <v>45180</v>
      </c>
      <c r="W112" s="61">
        <v>10</v>
      </c>
      <c r="X112" s="140">
        <f t="shared" si="103"/>
        <v>45191</v>
      </c>
      <c r="Y112" s="64">
        <v>45173</v>
      </c>
      <c r="Z112" s="126">
        <f t="shared" ca="1" si="96"/>
        <v>21</v>
      </c>
      <c r="AA112" s="65">
        <v>45204</v>
      </c>
      <c r="AB112" s="66">
        <v>1</v>
      </c>
      <c r="AC112" s="125" t="str">
        <f t="shared" si="58"/>
        <v>Completed</v>
      </c>
      <c r="AD112" s="152" t="s">
        <v>992</v>
      </c>
      <c r="AE112" s="80">
        <v>45230</v>
      </c>
      <c r="AF112" s="81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81"/>
      <c r="CF112" s="81"/>
      <c r="CG112" s="81"/>
      <c r="CH112" s="81"/>
      <c r="CI112" s="81"/>
      <c r="CJ112" s="81"/>
      <c r="CK112" s="81"/>
      <c r="CL112" s="81"/>
      <c r="CM112" s="81"/>
      <c r="CN112" s="81"/>
      <c r="CO112" s="81"/>
      <c r="CP112" s="81"/>
      <c r="CQ112" s="81"/>
      <c r="CR112" s="81"/>
      <c r="CS112" s="81"/>
      <c r="CT112" s="81"/>
      <c r="CU112" s="81"/>
      <c r="CV112" s="81"/>
      <c r="CW112" s="81"/>
      <c r="CX112" s="81"/>
      <c r="CY112" s="81"/>
      <c r="CZ112" s="81"/>
      <c r="DA112" s="81"/>
      <c r="DB112" s="81"/>
      <c r="DC112" s="81"/>
      <c r="DD112" s="81"/>
      <c r="DE112" s="81"/>
      <c r="DF112" s="81"/>
      <c r="DG112" s="81"/>
      <c r="DH112" s="81"/>
      <c r="DI112" s="81"/>
      <c r="DJ112" s="81"/>
      <c r="DK112" s="81"/>
      <c r="DL112" s="81"/>
      <c r="DM112" s="81"/>
      <c r="DN112" s="81"/>
      <c r="DO112" s="81"/>
      <c r="DP112" s="81"/>
      <c r="DQ112" s="81"/>
      <c r="DR112" s="81"/>
      <c r="DS112" s="81"/>
      <c r="DT112" s="81"/>
      <c r="DU112" s="81"/>
      <c r="DV112" s="81"/>
      <c r="DW112" s="81"/>
      <c r="DX112" s="81"/>
      <c r="DY112" s="81"/>
      <c r="DZ112" s="81"/>
      <c r="EA112" s="81"/>
    </row>
    <row r="113" spans="2:131" ht="17.100000000000001" customHeight="1">
      <c r="B113" s="58">
        <v>4</v>
      </c>
      <c r="C113" s="58" t="s">
        <v>658</v>
      </c>
      <c r="D113" s="59"/>
      <c r="E113" s="60"/>
      <c r="F113" s="60"/>
      <c r="G113" s="60" t="s">
        <v>929</v>
      </c>
      <c r="H113" s="62"/>
      <c r="I113" s="123"/>
      <c r="J113" s="61"/>
      <c r="K113" s="61"/>
      <c r="L113" s="145" t="s">
        <v>660</v>
      </c>
      <c r="M113" s="145"/>
      <c r="N113" s="145"/>
      <c r="O113" s="145" t="s">
        <v>660</v>
      </c>
      <c r="P113" s="61"/>
      <c r="Q113" s="61"/>
      <c r="R113" s="61"/>
      <c r="S113" s="61"/>
      <c r="T113" s="61"/>
      <c r="U113" s="63"/>
      <c r="V113" s="64">
        <v>45194</v>
      </c>
      <c r="W113" s="61">
        <v>5</v>
      </c>
      <c r="X113" s="140">
        <f t="shared" si="103"/>
        <v>45203</v>
      </c>
      <c r="Y113" s="64">
        <v>45177</v>
      </c>
      <c r="Z113" s="126">
        <f t="shared" ca="1" si="96"/>
        <v>17</v>
      </c>
      <c r="AA113" s="65">
        <v>45204</v>
      </c>
      <c r="AB113" s="66">
        <v>1</v>
      </c>
      <c r="AC113" s="125" t="str">
        <f t="shared" si="58"/>
        <v>Completed</v>
      </c>
      <c r="AD113" s="152" t="s">
        <v>993</v>
      </c>
      <c r="AE113" s="80">
        <v>45231</v>
      </c>
      <c r="AF113" s="81"/>
      <c r="AG113" s="81"/>
      <c r="AH113" s="81"/>
      <c r="AI113" s="81"/>
      <c r="AJ113" s="81"/>
      <c r="AK113" s="81"/>
      <c r="AL113" s="81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  <c r="BA113" s="81"/>
      <c r="BB113" s="81"/>
      <c r="BC113" s="81"/>
      <c r="BD113" s="81"/>
      <c r="BE113" s="81"/>
      <c r="BF113" s="81"/>
      <c r="BG113" s="81"/>
      <c r="BH113" s="81"/>
      <c r="BI113" s="81"/>
      <c r="BJ113" s="81"/>
      <c r="BK113" s="81"/>
      <c r="BL113" s="81"/>
      <c r="BM113" s="81"/>
      <c r="BN113" s="81"/>
      <c r="BO113" s="81"/>
      <c r="BP113" s="81"/>
      <c r="BQ113" s="81"/>
      <c r="BR113" s="81"/>
      <c r="BS113" s="81"/>
      <c r="BT113" s="81"/>
      <c r="BU113" s="81"/>
      <c r="BV113" s="81"/>
      <c r="BW113" s="81"/>
      <c r="BX113" s="81"/>
      <c r="BY113" s="81"/>
      <c r="BZ113" s="81"/>
      <c r="CA113" s="81"/>
      <c r="CB113" s="81"/>
      <c r="CC113" s="81"/>
      <c r="CD113" s="81"/>
      <c r="CE113" s="81"/>
      <c r="CF113" s="81"/>
      <c r="CG113" s="81"/>
      <c r="CH113" s="81"/>
      <c r="CI113" s="81"/>
      <c r="CJ113" s="81"/>
      <c r="CK113" s="81"/>
      <c r="CL113" s="81"/>
      <c r="CM113" s="81"/>
      <c r="CN113" s="81"/>
      <c r="CO113" s="81"/>
      <c r="CP113" s="81"/>
      <c r="CQ113" s="81"/>
      <c r="CR113" s="81"/>
      <c r="CS113" s="81"/>
      <c r="CT113" s="81"/>
      <c r="CU113" s="81"/>
      <c r="CV113" s="81"/>
      <c r="CW113" s="81"/>
      <c r="CX113" s="81"/>
      <c r="CY113" s="81"/>
      <c r="CZ113" s="81"/>
      <c r="DA113" s="81"/>
      <c r="DB113" s="81"/>
      <c r="DC113" s="81"/>
      <c r="DD113" s="81"/>
      <c r="DE113" s="81"/>
      <c r="DF113" s="81"/>
      <c r="DG113" s="81"/>
      <c r="DH113" s="81"/>
      <c r="DI113" s="81"/>
      <c r="DJ113" s="81"/>
      <c r="DK113" s="81"/>
      <c r="DL113" s="81"/>
      <c r="DM113" s="81"/>
      <c r="DN113" s="81"/>
      <c r="DO113" s="81"/>
      <c r="DP113" s="81"/>
      <c r="DQ113" s="81"/>
      <c r="DR113" s="81"/>
      <c r="DS113" s="81"/>
      <c r="DT113" s="81"/>
      <c r="DU113" s="81"/>
      <c r="DV113" s="81"/>
      <c r="DW113" s="81"/>
      <c r="DX113" s="81"/>
      <c r="DY113" s="81"/>
      <c r="DZ113" s="81"/>
      <c r="EA113" s="81"/>
    </row>
    <row r="114" spans="2:131" ht="17.100000000000001" customHeight="1">
      <c r="B114" s="58">
        <v>4</v>
      </c>
      <c r="C114" s="58" t="s">
        <v>658</v>
      </c>
      <c r="D114" s="59"/>
      <c r="E114" s="60"/>
      <c r="F114" s="60"/>
      <c r="G114" s="60" t="s">
        <v>930</v>
      </c>
      <c r="H114" s="62"/>
      <c r="I114" s="123"/>
      <c r="J114" s="61"/>
      <c r="K114" s="61"/>
      <c r="L114" s="145" t="s">
        <v>660</v>
      </c>
      <c r="M114" s="145"/>
      <c r="N114" s="145"/>
      <c r="O114" s="145" t="s">
        <v>660</v>
      </c>
      <c r="P114" s="61"/>
      <c r="Q114" s="61"/>
      <c r="R114" s="61"/>
      <c r="S114" s="61"/>
      <c r="T114" s="61"/>
      <c r="U114" s="63"/>
      <c r="V114" s="64">
        <v>45194</v>
      </c>
      <c r="W114" s="61">
        <v>5</v>
      </c>
      <c r="X114" s="140">
        <f t="shared" si="103"/>
        <v>45203</v>
      </c>
      <c r="Y114" s="64">
        <v>45196</v>
      </c>
      <c r="Z114" s="126">
        <f t="shared" ca="1" si="96"/>
        <v>4</v>
      </c>
      <c r="AA114" s="65">
        <v>45204</v>
      </c>
      <c r="AB114" s="66">
        <v>1</v>
      </c>
      <c r="AC114" s="125" t="str">
        <f t="shared" si="58"/>
        <v>Completed</v>
      </c>
      <c r="AD114" s="152" t="s">
        <v>994</v>
      </c>
      <c r="AE114" s="80">
        <v>45232</v>
      </c>
      <c r="AF114" s="81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81"/>
      <c r="CF114" s="81"/>
      <c r="CG114" s="81"/>
      <c r="CH114" s="81"/>
      <c r="CI114" s="81"/>
      <c r="CJ114" s="81"/>
      <c r="CK114" s="81"/>
      <c r="CL114" s="81"/>
      <c r="CM114" s="81"/>
      <c r="CN114" s="81"/>
      <c r="CO114" s="81"/>
      <c r="CP114" s="81"/>
      <c r="CQ114" s="81"/>
      <c r="CR114" s="81"/>
      <c r="CS114" s="81"/>
      <c r="CT114" s="81"/>
      <c r="CU114" s="81"/>
      <c r="CV114" s="81"/>
      <c r="CW114" s="81"/>
      <c r="CX114" s="81"/>
      <c r="CY114" s="81"/>
      <c r="CZ114" s="81"/>
      <c r="DA114" s="81"/>
      <c r="DB114" s="81"/>
      <c r="DC114" s="81"/>
      <c r="DD114" s="81"/>
      <c r="DE114" s="81"/>
      <c r="DF114" s="81"/>
      <c r="DG114" s="81"/>
      <c r="DH114" s="81"/>
      <c r="DI114" s="81"/>
      <c r="DJ114" s="81"/>
      <c r="DK114" s="81"/>
      <c r="DL114" s="81"/>
      <c r="DM114" s="81"/>
      <c r="DN114" s="81"/>
      <c r="DO114" s="81"/>
      <c r="DP114" s="81"/>
      <c r="DQ114" s="81"/>
      <c r="DR114" s="81"/>
      <c r="DS114" s="81"/>
      <c r="DT114" s="81"/>
      <c r="DU114" s="81"/>
      <c r="DV114" s="81"/>
      <c r="DW114" s="81"/>
      <c r="DX114" s="81"/>
      <c r="DY114" s="81"/>
      <c r="DZ114" s="81"/>
      <c r="EA114" s="81"/>
    </row>
    <row r="115" spans="2:131" ht="17.100000000000001" customHeight="1">
      <c r="B115" s="92">
        <v>2</v>
      </c>
      <c r="C115" s="92" t="s">
        <v>655</v>
      </c>
      <c r="D115" s="93"/>
      <c r="E115" s="94" t="s">
        <v>995</v>
      </c>
      <c r="F115" s="94"/>
      <c r="G115" s="94"/>
      <c r="H115" s="95"/>
      <c r="I115" s="118" t="str">
        <f t="shared" ref="I115:U115" si="104">IF(COUNTIF(I116:I120,"●")&gt;0,"●","")</f>
        <v/>
      </c>
      <c r="J115" s="91" t="str">
        <f t="shared" si="104"/>
        <v/>
      </c>
      <c r="K115" s="91" t="str">
        <f t="shared" si="104"/>
        <v/>
      </c>
      <c r="L115" s="118" t="str">
        <f t="shared" si="104"/>
        <v>●</v>
      </c>
      <c r="M115" s="91" t="str">
        <f t="shared" si="104"/>
        <v/>
      </c>
      <c r="N115" s="144" t="str">
        <f t="shared" si="104"/>
        <v/>
      </c>
      <c r="O115" s="118" t="str">
        <f t="shared" si="104"/>
        <v>●</v>
      </c>
      <c r="P115" s="144" t="str">
        <f t="shared" si="104"/>
        <v/>
      </c>
      <c r="Q115" s="144" t="str">
        <f t="shared" si="104"/>
        <v/>
      </c>
      <c r="R115" s="144" t="str">
        <f t="shared" si="104"/>
        <v/>
      </c>
      <c r="S115" s="144" t="str">
        <f t="shared" si="104"/>
        <v/>
      </c>
      <c r="T115" s="144" t="str">
        <f t="shared" si="104"/>
        <v/>
      </c>
      <c r="U115" s="144" t="str">
        <f t="shared" si="104"/>
        <v/>
      </c>
      <c r="V115" s="96">
        <f>IF(MIN(V116:V120)=0,"",MIN(V116:V120))</f>
        <v>45159</v>
      </c>
      <c r="W115" s="97">
        <f ca="1">IF(AND(V115="",X115="")=TRUE,"",IF(AND(V115&gt;0,X115="")=TRUE,NETWORKDAYS(V115,TODAY(),Holidays),NETWORKDAYS(V115,X115,Holidays)))</f>
        <v>36</v>
      </c>
      <c r="X115" s="139">
        <f>IF(MAX(X116:X120)=0,"",MAX(X116:X120))</f>
        <v>45212</v>
      </c>
      <c r="Y115" s="96">
        <f>IF(MIN(Y116:Y120)=0,"",MIN(Y116:Y120))</f>
        <v>45161</v>
      </c>
      <c r="Z115" s="97">
        <f t="shared" ref="Z115:Z120" ca="1" si="105">IF(AND(Y115="",AA115="")=TRUE,"",IF(AND(Y115&gt;0,AA115="")=TRUE,NETWORKDAYS(Y115,TODAY(),Holidays),NETWORKDAYS(Y115,AA115,Holidays)))</f>
        <v>34</v>
      </c>
      <c r="AA115" s="98">
        <f>IF(MAX(AA116:AA120)=0,"",MAX(AA116:AA120))</f>
        <v>45212</v>
      </c>
      <c r="AB115" s="99">
        <f>IFERROR(AVERAGE(AB116),"")</f>
        <v>1</v>
      </c>
      <c r="AC115" s="100" t="str">
        <f t="shared" si="58"/>
        <v>Completed</v>
      </c>
      <c r="AD115" s="154"/>
      <c r="AE115" s="80">
        <v>45233</v>
      </c>
      <c r="AF115" s="81"/>
      <c r="AG115" s="81"/>
      <c r="AH115" s="81"/>
      <c r="AI115" s="81"/>
      <c r="AJ115" s="81"/>
      <c r="AK115" s="81"/>
      <c r="AL115" s="81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  <c r="BA115" s="81"/>
      <c r="BB115" s="81"/>
      <c r="BC115" s="81"/>
      <c r="BD115" s="81"/>
      <c r="BE115" s="81"/>
      <c r="BF115" s="81"/>
      <c r="BG115" s="81"/>
      <c r="BH115" s="81"/>
      <c r="BI115" s="81"/>
      <c r="BJ115" s="81"/>
      <c r="BK115" s="81"/>
      <c r="BL115" s="81"/>
      <c r="BM115" s="81"/>
      <c r="BN115" s="81"/>
      <c r="BO115" s="81"/>
      <c r="BP115" s="81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1"/>
      <c r="CI115" s="81"/>
      <c r="CJ115" s="81"/>
      <c r="CK115" s="81"/>
      <c r="CL115" s="81"/>
      <c r="CM115" s="81"/>
      <c r="CN115" s="81"/>
      <c r="CO115" s="81"/>
      <c r="CP115" s="81"/>
      <c r="CQ115" s="81"/>
      <c r="CR115" s="81"/>
      <c r="CS115" s="81"/>
      <c r="CT115" s="81"/>
      <c r="CU115" s="81"/>
      <c r="CV115" s="81"/>
      <c r="CW115" s="81"/>
      <c r="CX115" s="81"/>
      <c r="CY115" s="81"/>
      <c r="CZ115" s="81"/>
      <c r="DA115" s="81"/>
      <c r="DB115" s="81"/>
      <c r="DC115" s="81"/>
      <c r="DD115" s="81"/>
      <c r="DE115" s="81"/>
      <c r="DF115" s="81"/>
      <c r="DG115" s="81"/>
      <c r="DH115" s="81"/>
      <c r="DI115" s="81"/>
      <c r="DJ115" s="81"/>
      <c r="DK115" s="81"/>
      <c r="DL115" s="81"/>
      <c r="DM115" s="81"/>
      <c r="DN115" s="81"/>
      <c r="DO115" s="81"/>
      <c r="DP115" s="81"/>
      <c r="DQ115" s="81"/>
      <c r="DR115" s="81"/>
      <c r="DS115" s="81"/>
      <c r="DT115" s="81"/>
      <c r="DU115" s="81"/>
      <c r="DV115" s="81"/>
      <c r="DW115" s="81"/>
      <c r="DX115" s="81"/>
      <c r="DY115" s="81"/>
      <c r="DZ115" s="81"/>
      <c r="EA115" s="81"/>
    </row>
    <row r="116" spans="2:131" ht="17.100000000000001" customHeight="1">
      <c r="B116" s="92">
        <v>3</v>
      </c>
      <c r="C116" s="92" t="s">
        <v>655</v>
      </c>
      <c r="D116" s="93"/>
      <c r="E116" s="94"/>
      <c r="F116" s="94" t="s">
        <v>932</v>
      </c>
      <c r="G116" s="94"/>
      <c r="H116" s="95"/>
      <c r="I116" s="118" t="str">
        <f t="shared" ref="I116:U116" si="106">IF(COUNTIF(I117:I120,"●")&gt;0,"●","")</f>
        <v/>
      </c>
      <c r="J116" s="91" t="str">
        <f t="shared" si="106"/>
        <v/>
      </c>
      <c r="K116" s="91" t="str">
        <f t="shared" si="106"/>
        <v/>
      </c>
      <c r="L116" s="118" t="str">
        <f t="shared" si="106"/>
        <v>●</v>
      </c>
      <c r="M116" s="91" t="str">
        <f t="shared" si="106"/>
        <v/>
      </c>
      <c r="N116" s="144" t="str">
        <f t="shared" si="106"/>
        <v/>
      </c>
      <c r="O116" s="118" t="str">
        <f t="shared" si="106"/>
        <v>●</v>
      </c>
      <c r="P116" s="144" t="str">
        <f t="shared" si="106"/>
        <v/>
      </c>
      <c r="Q116" s="144" t="str">
        <f t="shared" si="106"/>
        <v/>
      </c>
      <c r="R116" s="144" t="str">
        <f t="shared" si="106"/>
        <v/>
      </c>
      <c r="S116" s="144" t="str">
        <f t="shared" si="106"/>
        <v/>
      </c>
      <c r="T116" s="144" t="str">
        <f t="shared" si="106"/>
        <v/>
      </c>
      <c r="U116" s="144" t="str">
        <f t="shared" si="106"/>
        <v/>
      </c>
      <c r="V116" s="96">
        <f>IF(MIN(V117:V120)=0,"",MIN(V117:V120))</f>
        <v>45159</v>
      </c>
      <c r="W116" s="97">
        <f ca="1">IF(AND(V116="",X116="")=TRUE,"",IF(AND(V116&gt;0,X116="")=TRUE,NETWORKDAYS(V116,TODAY(),Holidays),NETWORKDAYS(V116,X116,Holidays)))</f>
        <v>36</v>
      </c>
      <c r="X116" s="138">
        <f>IF(MAX(X117:X120)=0,"",MAX(X117:X120))</f>
        <v>45212</v>
      </c>
      <c r="Y116" s="96">
        <f>IF(MIN(Y117:Y120)=0,"",MIN(Y117:Y120))</f>
        <v>45161</v>
      </c>
      <c r="Z116" s="97">
        <f t="shared" ca="1" si="105"/>
        <v>34</v>
      </c>
      <c r="AA116" s="98">
        <f>IF(MAX(AA117:AA120)=0,"",MAX(AA117:AA120))</f>
        <v>45212</v>
      </c>
      <c r="AB116" s="99">
        <f>IFERROR(AVERAGE(AB117:AB120),"")</f>
        <v>1</v>
      </c>
      <c r="AC116" s="100" t="str">
        <f t="shared" si="58"/>
        <v>Completed</v>
      </c>
      <c r="AD116" s="154"/>
      <c r="AE116" s="80">
        <v>45236</v>
      </c>
      <c r="AF116" s="81"/>
      <c r="AG116" s="81"/>
      <c r="AH116" s="81"/>
      <c r="AI116" s="81"/>
      <c r="AJ116" s="81"/>
      <c r="AK116" s="81"/>
      <c r="AL116" s="81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  <c r="BA116" s="81"/>
      <c r="BB116" s="81"/>
      <c r="BC116" s="81"/>
      <c r="BD116" s="81"/>
      <c r="BE116" s="81"/>
      <c r="BF116" s="81"/>
      <c r="BG116" s="81"/>
      <c r="BH116" s="81"/>
      <c r="BI116" s="81"/>
      <c r="BJ116" s="81"/>
      <c r="BK116" s="81"/>
      <c r="BL116" s="81"/>
      <c r="BM116" s="81"/>
      <c r="BN116" s="81"/>
      <c r="BO116" s="81"/>
      <c r="BP116" s="81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1"/>
      <c r="CI116" s="81"/>
      <c r="CJ116" s="81"/>
      <c r="CK116" s="81"/>
      <c r="CL116" s="81"/>
      <c r="CM116" s="81"/>
      <c r="CN116" s="81"/>
      <c r="CO116" s="81"/>
      <c r="CP116" s="81"/>
      <c r="CQ116" s="81"/>
      <c r="CR116" s="81"/>
      <c r="CS116" s="81"/>
      <c r="CT116" s="81"/>
      <c r="CU116" s="81"/>
      <c r="CV116" s="81"/>
      <c r="CW116" s="81"/>
      <c r="CX116" s="81"/>
      <c r="CY116" s="81"/>
      <c r="CZ116" s="81"/>
      <c r="DA116" s="81"/>
      <c r="DB116" s="81"/>
      <c r="DC116" s="81"/>
      <c r="DD116" s="81"/>
      <c r="DE116" s="81"/>
      <c r="DF116" s="81"/>
      <c r="DG116" s="81"/>
      <c r="DH116" s="81"/>
      <c r="DI116" s="81"/>
      <c r="DJ116" s="81"/>
      <c r="DK116" s="81"/>
      <c r="DL116" s="81"/>
      <c r="DM116" s="81"/>
      <c r="DN116" s="81"/>
      <c r="DO116" s="81"/>
      <c r="DP116" s="81"/>
      <c r="DQ116" s="81"/>
      <c r="DR116" s="81"/>
      <c r="DS116" s="81"/>
      <c r="DT116" s="81"/>
      <c r="DU116" s="81"/>
      <c r="DV116" s="81"/>
      <c r="DW116" s="81"/>
      <c r="DX116" s="81"/>
      <c r="DY116" s="81"/>
      <c r="DZ116" s="81"/>
      <c r="EA116" s="81"/>
    </row>
    <row r="117" spans="2:131" ht="17.100000000000001" customHeight="1">
      <c r="B117" s="58">
        <v>4</v>
      </c>
      <c r="C117" s="58" t="s">
        <v>658</v>
      </c>
      <c r="D117" s="59"/>
      <c r="E117" s="60"/>
      <c r="F117" s="60"/>
      <c r="G117" s="60" t="s">
        <v>996</v>
      </c>
      <c r="H117" s="62"/>
      <c r="I117" s="123"/>
      <c r="J117" s="61"/>
      <c r="K117" s="61"/>
      <c r="L117" s="145" t="s">
        <v>660</v>
      </c>
      <c r="M117" s="145"/>
      <c r="N117" s="145"/>
      <c r="O117" s="145" t="s">
        <v>660</v>
      </c>
      <c r="P117" s="61"/>
      <c r="Q117" s="61"/>
      <c r="R117" s="61"/>
      <c r="S117" s="61"/>
      <c r="T117" s="61"/>
      <c r="U117" s="63"/>
      <c r="V117" s="64">
        <v>45159</v>
      </c>
      <c r="W117" s="61">
        <v>3</v>
      </c>
      <c r="X117" s="140">
        <f t="shared" ref="X117:X118" si="107">IF(AND(V117="",W117="")=TRUE,"",WORKDAY(V117,W117-1,Holidays))</f>
        <v>45161</v>
      </c>
      <c r="Y117" s="64">
        <v>45161</v>
      </c>
      <c r="Z117" s="126">
        <f t="shared" ca="1" si="105"/>
        <v>6</v>
      </c>
      <c r="AA117" s="65">
        <v>45168</v>
      </c>
      <c r="AB117" s="66">
        <v>1</v>
      </c>
      <c r="AC117" s="125" t="str">
        <f t="shared" si="58"/>
        <v>Completed</v>
      </c>
      <c r="AD117" s="152"/>
      <c r="AE117" s="80">
        <v>45237</v>
      </c>
      <c r="AF117" s="81"/>
      <c r="AG117" s="81"/>
      <c r="AH117" s="81"/>
      <c r="AI117" s="81"/>
      <c r="AJ117" s="81"/>
      <c r="AK117" s="81"/>
      <c r="AL117" s="81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  <c r="BA117" s="81"/>
      <c r="BB117" s="81"/>
      <c r="BC117" s="81"/>
      <c r="BD117" s="81"/>
      <c r="BE117" s="81"/>
      <c r="BF117" s="81"/>
      <c r="BG117" s="81"/>
      <c r="BH117" s="81"/>
      <c r="BI117" s="81"/>
      <c r="BJ117" s="81"/>
      <c r="BK117" s="81"/>
      <c r="BL117" s="81"/>
      <c r="BM117" s="81"/>
      <c r="BN117" s="81"/>
      <c r="BO117" s="81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1"/>
      <c r="CI117" s="81"/>
      <c r="CJ117" s="81"/>
      <c r="CK117" s="81"/>
      <c r="CL117" s="81"/>
      <c r="CM117" s="81"/>
      <c r="CN117" s="81"/>
      <c r="CO117" s="81"/>
      <c r="CP117" s="81"/>
      <c r="CQ117" s="81"/>
      <c r="CR117" s="81"/>
      <c r="CS117" s="81"/>
      <c r="CT117" s="81"/>
      <c r="CU117" s="81"/>
      <c r="CV117" s="81"/>
      <c r="CW117" s="81"/>
      <c r="CX117" s="81"/>
      <c r="CY117" s="81"/>
      <c r="CZ117" s="81"/>
      <c r="DA117" s="81"/>
      <c r="DB117" s="81"/>
      <c r="DC117" s="81"/>
      <c r="DD117" s="81"/>
      <c r="DE117" s="81"/>
      <c r="DF117" s="81"/>
      <c r="DG117" s="81"/>
      <c r="DH117" s="81"/>
      <c r="DI117" s="81"/>
      <c r="DJ117" s="81"/>
      <c r="DK117" s="81"/>
      <c r="DL117" s="81"/>
      <c r="DM117" s="81"/>
      <c r="DN117" s="81"/>
      <c r="DO117" s="81"/>
      <c r="DP117" s="81"/>
      <c r="DQ117" s="81"/>
      <c r="DR117" s="81"/>
      <c r="DS117" s="81"/>
      <c r="DT117" s="81"/>
      <c r="DU117" s="81"/>
      <c r="DV117" s="81"/>
      <c r="DW117" s="81"/>
      <c r="DX117" s="81"/>
      <c r="DY117" s="81"/>
      <c r="DZ117" s="81"/>
      <c r="EA117" s="81"/>
    </row>
    <row r="118" spans="2:131" ht="17.100000000000001" customHeight="1">
      <c r="B118" s="58">
        <v>4</v>
      </c>
      <c r="C118" s="58" t="s">
        <v>658</v>
      </c>
      <c r="D118" s="59"/>
      <c r="E118" s="60"/>
      <c r="F118" s="60"/>
      <c r="G118" s="60" t="s">
        <v>934</v>
      </c>
      <c r="H118" s="62"/>
      <c r="I118" s="123"/>
      <c r="J118" s="61"/>
      <c r="K118" s="61"/>
      <c r="L118" s="145" t="s">
        <v>660</v>
      </c>
      <c r="M118" s="145"/>
      <c r="N118" s="145"/>
      <c r="O118" s="145" t="s">
        <v>660</v>
      </c>
      <c r="P118" s="61"/>
      <c r="Q118" s="61"/>
      <c r="R118" s="61"/>
      <c r="S118" s="61"/>
      <c r="T118" s="61"/>
      <c r="U118" s="63"/>
      <c r="V118" s="64">
        <v>45162</v>
      </c>
      <c r="W118" s="61">
        <v>22</v>
      </c>
      <c r="X118" s="140">
        <f t="shared" si="107"/>
        <v>45191</v>
      </c>
      <c r="Y118" s="64">
        <v>45162</v>
      </c>
      <c r="Z118" s="126">
        <f t="shared" ca="1" si="105"/>
        <v>25</v>
      </c>
      <c r="AA118" s="65">
        <v>45196</v>
      </c>
      <c r="AB118" s="66">
        <v>1</v>
      </c>
      <c r="AC118" s="125" t="str">
        <f t="shared" si="58"/>
        <v>Completed</v>
      </c>
      <c r="AD118" s="152"/>
      <c r="AE118" s="80">
        <v>45238</v>
      </c>
      <c r="AF118" s="81"/>
      <c r="AG118" s="81"/>
      <c r="AH118" s="81"/>
      <c r="AI118" s="81"/>
      <c r="AJ118" s="81"/>
      <c r="AK118" s="81"/>
      <c r="AL118" s="81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81"/>
      <c r="BH118" s="81"/>
      <c r="BI118" s="81"/>
      <c r="BJ118" s="81"/>
      <c r="BK118" s="81"/>
      <c r="BL118" s="81"/>
      <c r="BM118" s="81"/>
      <c r="BN118" s="81"/>
      <c r="BO118" s="81"/>
      <c r="BP118" s="8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1"/>
      <c r="CI118" s="81"/>
      <c r="CJ118" s="81"/>
      <c r="CK118" s="81"/>
      <c r="CL118" s="81"/>
      <c r="CM118" s="81"/>
      <c r="CN118" s="81"/>
      <c r="CO118" s="81"/>
      <c r="CP118" s="81"/>
      <c r="CQ118" s="81"/>
      <c r="CR118" s="81"/>
      <c r="CS118" s="81"/>
      <c r="CT118" s="81"/>
      <c r="CU118" s="81"/>
      <c r="CV118" s="81"/>
      <c r="CW118" s="81"/>
      <c r="CX118" s="81"/>
      <c r="CY118" s="81"/>
      <c r="CZ118" s="81"/>
      <c r="DA118" s="81"/>
      <c r="DB118" s="81"/>
      <c r="DC118" s="81"/>
      <c r="DD118" s="81"/>
      <c r="DE118" s="81"/>
      <c r="DF118" s="81"/>
      <c r="DG118" s="81"/>
      <c r="DH118" s="81"/>
      <c r="DI118" s="81"/>
      <c r="DJ118" s="81"/>
      <c r="DK118" s="81"/>
      <c r="DL118" s="81"/>
      <c r="DM118" s="81"/>
      <c r="DN118" s="81"/>
      <c r="DO118" s="81"/>
      <c r="DP118" s="81"/>
      <c r="DQ118" s="81"/>
      <c r="DR118" s="81"/>
      <c r="DS118" s="81"/>
      <c r="DT118" s="81"/>
      <c r="DU118" s="81"/>
      <c r="DV118" s="81"/>
      <c r="DW118" s="81"/>
      <c r="DX118" s="81"/>
      <c r="DY118" s="81"/>
      <c r="DZ118" s="81"/>
      <c r="EA118" s="81"/>
    </row>
    <row r="119" spans="2:131" ht="17.100000000000001" customHeight="1">
      <c r="B119" s="58">
        <v>4</v>
      </c>
      <c r="C119" s="58" t="s">
        <v>658</v>
      </c>
      <c r="D119" s="59"/>
      <c r="E119" s="60"/>
      <c r="F119" s="60"/>
      <c r="G119" s="60" t="s">
        <v>997</v>
      </c>
      <c r="H119" s="62"/>
      <c r="I119" s="123"/>
      <c r="J119" s="61"/>
      <c r="K119" s="61"/>
      <c r="L119" s="145" t="s">
        <v>660</v>
      </c>
      <c r="M119" s="145"/>
      <c r="N119" s="145"/>
      <c r="O119" s="145" t="s">
        <v>660</v>
      </c>
      <c r="P119" s="61"/>
      <c r="Q119" s="61"/>
      <c r="R119" s="61"/>
      <c r="S119" s="61"/>
      <c r="T119" s="61"/>
      <c r="U119" s="63"/>
      <c r="V119" s="64">
        <v>45194</v>
      </c>
      <c r="W119" s="61">
        <v>5</v>
      </c>
      <c r="X119" s="140">
        <v>45204</v>
      </c>
      <c r="Y119" s="64">
        <v>45183</v>
      </c>
      <c r="Z119" s="126">
        <f t="shared" ca="1" si="105"/>
        <v>14</v>
      </c>
      <c r="AA119" s="65">
        <v>45205</v>
      </c>
      <c r="AB119" s="66">
        <v>1</v>
      </c>
      <c r="AC119" s="125" t="str">
        <f t="shared" si="58"/>
        <v>Completed</v>
      </c>
      <c r="AD119" s="166" t="s">
        <v>998</v>
      </c>
      <c r="AE119" s="80">
        <v>45239</v>
      </c>
      <c r="AF119" s="81"/>
      <c r="AG119" s="81"/>
      <c r="AH119" s="81"/>
      <c r="AI119" s="81"/>
      <c r="AJ119" s="81"/>
      <c r="AK119" s="81"/>
      <c r="AL119" s="81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  <c r="BA119" s="81"/>
      <c r="BB119" s="81"/>
      <c r="BC119" s="81"/>
      <c r="BD119" s="81"/>
      <c r="BE119" s="81"/>
      <c r="BF119" s="81"/>
      <c r="BG119" s="81"/>
      <c r="BH119" s="81"/>
      <c r="BI119" s="81"/>
      <c r="BJ119" s="81"/>
      <c r="BK119" s="81"/>
      <c r="BL119" s="81"/>
      <c r="BM119" s="81"/>
      <c r="BN119" s="81"/>
      <c r="BO119" s="81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1"/>
      <c r="CI119" s="81"/>
      <c r="CJ119" s="81"/>
      <c r="CK119" s="81"/>
      <c r="CL119" s="81"/>
      <c r="CM119" s="81"/>
      <c r="CN119" s="81"/>
      <c r="CO119" s="81"/>
      <c r="CP119" s="81"/>
      <c r="CQ119" s="81"/>
      <c r="CR119" s="81"/>
      <c r="CS119" s="81"/>
      <c r="CT119" s="81"/>
      <c r="CU119" s="81"/>
      <c r="CV119" s="81"/>
      <c r="CW119" s="81"/>
      <c r="CX119" s="81"/>
      <c r="CY119" s="81"/>
      <c r="CZ119" s="81"/>
      <c r="DA119" s="81"/>
      <c r="DB119" s="81"/>
      <c r="DC119" s="81"/>
      <c r="DD119" s="81"/>
      <c r="DE119" s="81"/>
      <c r="DF119" s="81"/>
      <c r="DG119" s="81"/>
      <c r="DH119" s="81"/>
      <c r="DI119" s="81"/>
      <c r="DJ119" s="81"/>
      <c r="DK119" s="81"/>
      <c r="DL119" s="81"/>
      <c r="DM119" s="81"/>
      <c r="DN119" s="81"/>
      <c r="DO119" s="81"/>
      <c r="DP119" s="81"/>
      <c r="DQ119" s="81"/>
      <c r="DR119" s="81"/>
      <c r="DS119" s="81"/>
      <c r="DT119" s="81"/>
      <c r="DU119" s="81"/>
      <c r="DV119" s="81"/>
      <c r="DW119" s="81"/>
      <c r="DX119" s="81"/>
      <c r="DY119" s="81"/>
      <c r="DZ119" s="81"/>
      <c r="EA119" s="81"/>
    </row>
    <row r="120" spans="2:131" ht="17.100000000000001" customHeight="1">
      <c r="B120" s="58">
        <v>4</v>
      </c>
      <c r="C120" s="58" t="s">
        <v>658</v>
      </c>
      <c r="D120" s="59"/>
      <c r="E120" s="60"/>
      <c r="F120" s="60"/>
      <c r="G120" s="60" t="s">
        <v>999</v>
      </c>
      <c r="H120" s="62"/>
      <c r="I120" s="123"/>
      <c r="J120" s="61"/>
      <c r="K120" s="61"/>
      <c r="L120" s="145" t="s">
        <v>660</v>
      </c>
      <c r="M120" s="145"/>
      <c r="N120" s="145"/>
      <c r="O120" s="145" t="s">
        <v>660</v>
      </c>
      <c r="P120" s="61"/>
      <c r="Q120" s="61"/>
      <c r="R120" s="61"/>
      <c r="S120" s="61"/>
      <c r="T120" s="61"/>
      <c r="U120" s="63"/>
      <c r="V120" s="64">
        <v>45205</v>
      </c>
      <c r="W120" s="61">
        <v>6</v>
      </c>
      <c r="X120" s="140">
        <v>45212</v>
      </c>
      <c r="Y120" s="64">
        <v>45205</v>
      </c>
      <c r="Z120" s="126">
        <f t="shared" ca="1" si="105"/>
        <v>5</v>
      </c>
      <c r="AA120" s="65">
        <v>45212</v>
      </c>
      <c r="AB120" s="66">
        <v>1</v>
      </c>
      <c r="AC120" s="125" t="str">
        <f t="shared" si="58"/>
        <v>Completed</v>
      </c>
      <c r="AD120" s="152"/>
      <c r="AE120" s="80">
        <v>45240</v>
      </c>
      <c r="AF120" s="81"/>
      <c r="AG120" s="81"/>
      <c r="AH120" s="81"/>
      <c r="AI120" s="81"/>
      <c r="AJ120" s="81"/>
      <c r="AK120" s="81"/>
      <c r="AL120" s="81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  <c r="BA120" s="81"/>
      <c r="BB120" s="81"/>
      <c r="BC120" s="81"/>
      <c r="BD120" s="81"/>
      <c r="BE120" s="81"/>
      <c r="BF120" s="81"/>
      <c r="BG120" s="81"/>
      <c r="BH120" s="81"/>
      <c r="BI120" s="81"/>
      <c r="BJ120" s="81"/>
      <c r="BK120" s="81"/>
      <c r="BL120" s="81"/>
      <c r="BM120" s="81"/>
      <c r="BN120" s="81"/>
      <c r="BO120" s="81"/>
      <c r="BP120" s="8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1"/>
      <c r="CI120" s="81"/>
      <c r="CJ120" s="81"/>
      <c r="CK120" s="81"/>
      <c r="CL120" s="81"/>
      <c r="CM120" s="81"/>
      <c r="CN120" s="81"/>
      <c r="CO120" s="81"/>
      <c r="CP120" s="81"/>
      <c r="CQ120" s="81"/>
      <c r="CR120" s="81"/>
      <c r="CS120" s="81"/>
      <c r="CT120" s="81"/>
      <c r="CU120" s="81"/>
      <c r="CV120" s="81"/>
      <c r="CW120" s="81"/>
      <c r="CX120" s="81"/>
      <c r="CY120" s="81"/>
      <c r="CZ120" s="81"/>
      <c r="DA120" s="81"/>
      <c r="DB120" s="81"/>
      <c r="DC120" s="81"/>
      <c r="DD120" s="81"/>
      <c r="DE120" s="81"/>
      <c r="DF120" s="81"/>
      <c r="DG120" s="81"/>
      <c r="DH120" s="81"/>
      <c r="DI120" s="81"/>
      <c r="DJ120" s="81"/>
      <c r="DK120" s="81"/>
      <c r="DL120" s="81"/>
      <c r="DM120" s="81"/>
      <c r="DN120" s="81"/>
      <c r="DO120" s="81"/>
      <c r="DP120" s="81"/>
      <c r="DQ120" s="81"/>
      <c r="DR120" s="81"/>
      <c r="DS120" s="81"/>
      <c r="DT120" s="81"/>
      <c r="DU120" s="81"/>
      <c r="DV120" s="81"/>
      <c r="DW120" s="81"/>
      <c r="DX120" s="81"/>
      <c r="DY120" s="81"/>
      <c r="DZ120" s="81"/>
      <c r="EA120" s="81"/>
    </row>
    <row r="121" spans="2:131" ht="17.100000000000001" customHeight="1">
      <c r="B121" s="83">
        <v>1</v>
      </c>
      <c r="C121" s="83" t="s">
        <v>655</v>
      </c>
      <c r="D121" s="141" t="s">
        <v>937</v>
      </c>
      <c r="E121" s="142"/>
      <c r="F121" s="142"/>
      <c r="G121" s="142"/>
      <c r="H121" s="143"/>
      <c r="I121" s="117" t="str">
        <f t="shared" ref="I121:U121" si="108">IF(COUNTIF(I122:I128,"●")&gt;0,"●","")</f>
        <v>●</v>
      </c>
      <c r="J121" s="82" t="str">
        <f t="shared" si="108"/>
        <v>●</v>
      </c>
      <c r="K121" s="82" t="str">
        <f t="shared" si="108"/>
        <v/>
      </c>
      <c r="L121" s="117" t="str">
        <f t="shared" si="108"/>
        <v/>
      </c>
      <c r="M121" s="82" t="str">
        <f t="shared" si="108"/>
        <v>●</v>
      </c>
      <c r="N121" s="146" t="str">
        <f t="shared" si="108"/>
        <v>●</v>
      </c>
      <c r="O121" s="146" t="str">
        <f t="shared" si="108"/>
        <v/>
      </c>
      <c r="P121" s="146" t="str">
        <f t="shared" ref="P121" si="109">IF(COUNTIF(P122:P128,"●")&gt;0,"●","")</f>
        <v/>
      </c>
      <c r="Q121" s="146" t="str">
        <f t="shared" si="108"/>
        <v/>
      </c>
      <c r="R121" s="146" t="str">
        <f t="shared" si="108"/>
        <v/>
      </c>
      <c r="S121" s="146" t="str">
        <f t="shared" si="108"/>
        <v/>
      </c>
      <c r="T121" s="146" t="str">
        <f t="shared" si="108"/>
        <v/>
      </c>
      <c r="U121" s="146" t="str">
        <f t="shared" si="108"/>
        <v/>
      </c>
      <c r="V121" s="85">
        <f>IF(MIN(V122:V128)=0,"",MIN(V122:V128))</f>
        <v>45194</v>
      </c>
      <c r="W121" s="86">
        <f ca="1">IF(AND(V121="",X121="")=TRUE,"",IF(AND(V121&gt;0,X121="")=TRUE,NETWORKDAYS(V121,TODAY(),Holidays),NETWORKDAYS(V121,X121,Holidays)))</f>
        <v>11</v>
      </c>
      <c r="X121" s="87">
        <f>IF(MAX(X122:X128)=0,"",MAX(X122:X128))</f>
        <v>45212</v>
      </c>
      <c r="Y121" s="85">
        <f>IF(MIN(Y122:Y128)=0,"",MIN(Y122:Y128))</f>
        <v>45194</v>
      </c>
      <c r="Z121" s="86">
        <f ca="1">IF(AND(Y121="",AA121="")=TRUE,"",IF(AND(Y121&gt;0,AA121="")=TRUE,NETWORKDAYS(Y121,TODAY(),Holidays),NETWORKDAYS(Y121,AA121,Holidays)))</f>
        <v>11</v>
      </c>
      <c r="AA121" s="87">
        <f>IF(MAX(AA122:AA128)=0,"",MAX(AA122:AA128))</f>
        <v>45212</v>
      </c>
      <c r="AB121" s="88">
        <f>IFERROR(AVERAGE(AB122),"")</f>
        <v>1</v>
      </c>
      <c r="AC121" s="89" t="str">
        <f t="shared" si="58"/>
        <v>Completed</v>
      </c>
      <c r="AD121" s="153"/>
      <c r="AE121" s="80">
        <v>45243</v>
      </c>
      <c r="AF121" s="81"/>
      <c r="AG121" s="81"/>
      <c r="AH121" s="81"/>
      <c r="AI121" s="81"/>
      <c r="AJ121" s="81"/>
      <c r="AK121" s="81"/>
      <c r="AL121" s="81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  <c r="BA121" s="81"/>
      <c r="BB121" s="81"/>
      <c r="BC121" s="81"/>
      <c r="BD121" s="81"/>
      <c r="BE121" s="81"/>
      <c r="BF121" s="81"/>
      <c r="BG121" s="81"/>
      <c r="BH121" s="81"/>
      <c r="BI121" s="81"/>
      <c r="BJ121" s="81"/>
      <c r="BK121" s="81"/>
      <c r="BL121" s="81"/>
      <c r="BM121" s="81"/>
      <c r="BN121" s="81"/>
      <c r="BO121" s="81"/>
      <c r="BP121" s="81"/>
      <c r="BQ121" s="81"/>
      <c r="BR121" s="81"/>
      <c r="BS121" s="81"/>
      <c r="BT121" s="81"/>
      <c r="BU121" s="81"/>
      <c r="BV121" s="81"/>
      <c r="BW121" s="81"/>
      <c r="BX121" s="81"/>
      <c r="BY121" s="81"/>
      <c r="BZ121" s="81"/>
      <c r="CA121" s="81"/>
      <c r="CB121" s="81"/>
      <c r="CC121" s="81"/>
      <c r="CD121" s="81"/>
      <c r="CE121" s="81"/>
      <c r="CF121" s="81"/>
      <c r="CG121" s="81"/>
      <c r="CH121" s="81"/>
      <c r="CI121" s="81"/>
      <c r="CJ121" s="81"/>
      <c r="CK121" s="81"/>
      <c r="CL121" s="81"/>
      <c r="CM121" s="81"/>
      <c r="CN121" s="81"/>
      <c r="CO121" s="81"/>
      <c r="CP121" s="81"/>
      <c r="CQ121" s="81"/>
      <c r="CR121" s="81"/>
      <c r="CS121" s="81"/>
      <c r="CT121" s="81"/>
      <c r="CU121" s="81"/>
      <c r="CV121" s="81"/>
      <c r="CW121" s="81"/>
      <c r="CX121" s="81"/>
      <c r="CY121" s="81"/>
      <c r="CZ121" s="81"/>
      <c r="DA121" s="81"/>
      <c r="DB121" s="81"/>
      <c r="DC121" s="81"/>
      <c r="DD121" s="81"/>
      <c r="DE121" s="81"/>
      <c r="DF121" s="81"/>
      <c r="DG121" s="81"/>
      <c r="DH121" s="81"/>
      <c r="DI121" s="81"/>
      <c r="DJ121" s="81"/>
      <c r="DK121" s="81"/>
      <c r="DL121" s="81"/>
      <c r="DM121" s="81"/>
      <c r="DN121" s="81"/>
      <c r="DO121" s="81"/>
      <c r="DP121" s="81"/>
      <c r="DQ121" s="81"/>
      <c r="DR121" s="81"/>
      <c r="DS121" s="81"/>
      <c r="DT121" s="81"/>
      <c r="DU121" s="81"/>
      <c r="DV121" s="81"/>
      <c r="DW121" s="81"/>
      <c r="DX121" s="81"/>
      <c r="DY121" s="81"/>
      <c r="DZ121" s="81"/>
      <c r="EA121" s="81"/>
    </row>
    <row r="122" spans="2:131" ht="17.100000000000001" customHeight="1">
      <c r="B122" s="92">
        <v>2</v>
      </c>
      <c r="C122" s="92" t="s">
        <v>655</v>
      </c>
      <c r="D122" s="93"/>
      <c r="E122" s="94" t="s">
        <v>938</v>
      </c>
      <c r="F122" s="94"/>
      <c r="G122" s="94"/>
      <c r="H122" s="95"/>
      <c r="I122" s="118" t="str">
        <f t="shared" ref="I122:U122" si="110">IF(COUNTIF(I123:I128,"●")&gt;0,"●","")</f>
        <v>●</v>
      </c>
      <c r="J122" s="91" t="str">
        <f t="shared" si="110"/>
        <v>●</v>
      </c>
      <c r="K122" s="91" t="str">
        <f t="shared" si="110"/>
        <v/>
      </c>
      <c r="L122" s="118" t="str">
        <f t="shared" si="110"/>
        <v/>
      </c>
      <c r="M122" s="91" t="str">
        <f t="shared" si="110"/>
        <v>●</v>
      </c>
      <c r="N122" s="144" t="str">
        <f t="shared" si="110"/>
        <v>●</v>
      </c>
      <c r="O122" s="144" t="str">
        <f t="shared" si="110"/>
        <v/>
      </c>
      <c r="P122" s="144" t="str">
        <f t="shared" ref="P122" si="111">IF(COUNTIF(P123:P128,"●")&gt;0,"●","")</f>
        <v/>
      </c>
      <c r="Q122" s="144" t="str">
        <f t="shared" si="110"/>
        <v/>
      </c>
      <c r="R122" s="144" t="str">
        <f t="shared" si="110"/>
        <v/>
      </c>
      <c r="S122" s="144" t="str">
        <f t="shared" si="110"/>
        <v/>
      </c>
      <c r="T122" s="144" t="str">
        <f t="shared" si="110"/>
        <v/>
      </c>
      <c r="U122" s="144" t="str">
        <f t="shared" si="110"/>
        <v/>
      </c>
      <c r="V122" s="96">
        <f>IF(MIN(V123:V128)=0,"",MIN(V123:V128))</f>
        <v>45194</v>
      </c>
      <c r="W122" s="97">
        <f ca="1">IF(AND(V122="",X122="")=TRUE,"",IF(AND(V122&gt;0,X122="")=TRUE,NETWORKDAYS(V122,TODAY(),Holidays),NETWORKDAYS(V122,X122,Holidays)))</f>
        <v>11</v>
      </c>
      <c r="X122" s="139">
        <f>IF(MAX(X123:X128)=0,"",MAX(X123:X128))</f>
        <v>45212</v>
      </c>
      <c r="Y122" s="96">
        <f>IF(MIN(Y123:Y128)=0,"",MIN(Y123:Y128))</f>
        <v>45194</v>
      </c>
      <c r="Z122" s="97">
        <f t="shared" ref="Z122:Z125" ca="1" si="112">IF(AND(Y122="",AA122="")=TRUE,"",IF(AND(Y122&gt;0,AA122="")=TRUE,NETWORKDAYS(Y122,TODAY(),Holidays),NETWORKDAYS(Y122,AA122,Holidays)))</f>
        <v>11</v>
      </c>
      <c r="AA122" s="98">
        <f>IF(MAX(AA123:AA128)=0,"",MAX(AA123:AA128))</f>
        <v>45212</v>
      </c>
      <c r="AB122" s="99">
        <f>IFERROR(AVERAGE(AB123,AB126),"")</f>
        <v>1</v>
      </c>
      <c r="AC122" s="100" t="str">
        <f t="shared" si="58"/>
        <v>Completed</v>
      </c>
      <c r="AD122" s="154"/>
      <c r="AE122" s="80">
        <v>45244</v>
      </c>
      <c r="AF122" s="81"/>
      <c r="AG122" s="81"/>
      <c r="AH122" s="81"/>
      <c r="AI122" s="81"/>
      <c r="AJ122" s="81"/>
      <c r="AK122" s="81"/>
      <c r="AL122" s="81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  <c r="BA122" s="81"/>
      <c r="BB122" s="81"/>
      <c r="BC122" s="81"/>
      <c r="BD122" s="81"/>
      <c r="BE122" s="81"/>
      <c r="BF122" s="81"/>
      <c r="BG122" s="81"/>
      <c r="BH122" s="81"/>
      <c r="BI122" s="81"/>
      <c r="BJ122" s="81"/>
      <c r="BK122" s="81"/>
      <c r="BL122" s="81"/>
      <c r="BM122" s="81"/>
      <c r="BN122" s="81"/>
      <c r="BO122" s="81"/>
      <c r="BP122" s="81"/>
      <c r="BQ122" s="81"/>
      <c r="BR122" s="81"/>
      <c r="BS122" s="81"/>
      <c r="BT122" s="81"/>
      <c r="BU122" s="81"/>
      <c r="BV122" s="81"/>
      <c r="BW122" s="81"/>
      <c r="BX122" s="81"/>
      <c r="BY122" s="81"/>
      <c r="BZ122" s="81"/>
      <c r="CA122" s="81"/>
      <c r="CB122" s="81"/>
      <c r="CC122" s="81"/>
      <c r="CD122" s="81"/>
      <c r="CE122" s="81"/>
      <c r="CF122" s="81"/>
      <c r="CG122" s="81"/>
      <c r="CH122" s="81"/>
      <c r="CI122" s="81"/>
      <c r="CJ122" s="81"/>
      <c r="CK122" s="81"/>
      <c r="CL122" s="81"/>
      <c r="CM122" s="81"/>
      <c r="CN122" s="81"/>
      <c r="CO122" s="81"/>
      <c r="CP122" s="81"/>
      <c r="CQ122" s="81"/>
      <c r="CR122" s="81"/>
      <c r="CS122" s="81"/>
      <c r="CT122" s="81"/>
      <c r="CU122" s="81"/>
      <c r="CV122" s="81"/>
      <c r="CW122" s="81"/>
      <c r="CX122" s="81"/>
      <c r="CY122" s="81"/>
      <c r="CZ122" s="81"/>
      <c r="DA122" s="81"/>
      <c r="DB122" s="81"/>
      <c r="DC122" s="81"/>
      <c r="DD122" s="81"/>
      <c r="DE122" s="81"/>
      <c r="DF122" s="81"/>
      <c r="DG122" s="81"/>
      <c r="DH122" s="81"/>
      <c r="DI122" s="81"/>
      <c r="DJ122" s="81"/>
      <c r="DK122" s="81"/>
      <c r="DL122" s="81"/>
      <c r="DM122" s="81"/>
      <c r="DN122" s="81"/>
      <c r="DO122" s="81"/>
      <c r="DP122" s="81"/>
      <c r="DQ122" s="81"/>
      <c r="DR122" s="81"/>
      <c r="DS122" s="81"/>
      <c r="DT122" s="81"/>
      <c r="DU122" s="81"/>
      <c r="DV122" s="81"/>
      <c r="DW122" s="81"/>
      <c r="DX122" s="81"/>
      <c r="DY122" s="81"/>
      <c r="DZ122" s="81"/>
      <c r="EA122" s="81"/>
    </row>
    <row r="123" spans="2:131" ht="17.100000000000001" customHeight="1">
      <c r="B123" s="92">
        <v>3</v>
      </c>
      <c r="C123" s="92" t="s">
        <v>655</v>
      </c>
      <c r="D123" s="93"/>
      <c r="E123" s="94"/>
      <c r="F123" s="94" t="s">
        <v>1000</v>
      </c>
      <c r="G123" s="94"/>
      <c r="H123" s="95"/>
      <c r="I123" s="118" t="str">
        <f t="shared" ref="I123:U123" si="113">IF(COUNTIF(I124:I125,"●")&gt;0,"●","")</f>
        <v>●</v>
      </c>
      <c r="J123" s="91" t="str">
        <f t="shared" si="113"/>
        <v/>
      </c>
      <c r="K123" s="91" t="str">
        <f t="shared" si="113"/>
        <v/>
      </c>
      <c r="L123" s="118" t="str">
        <f t="shared" si="113"/>
        <v/>
      </c>
      <c r="M123" s="91" t="str">
        <f t="shared" si="113"/>
        <v>●</v>
      </c>
      <c r="N123" s="144" t="str">
        <f t="shared" si="113"/>
        <v>●</v>
      </c>
      <c r="O123" s="144" t="str">
        <f t="shared" si="113"/>
        <v/>
      </c>
      <c r="P123" s="144" t="str">
        <f t="shared" ref="P123" si="114">IF(COUNTIF(P124:P125,"●")&gt;0,"●","")</f>
        <v/>
      </c>
      <c r="Q123" s="144" t="str">
        <f t="shared" si="113"/>
        <v/>
      </c>
      <c r="R123" s="144" t="str">
        <f t="shared" si="113"/>
        <v/>
      </c>
      <c r="S123" s="144" t="str">
        <f t="shared" si="113"/>
        <v/>
      </c>
      <c r="T123" s="144" t="str">
        <f t="shared" si="113"/>
        <v/>
      </c>
      <c r="U123" s="144" t="str">
        <f t="shared" si="113"/>
        <v/>
      </c>
      <c r="V123" s="96">
        <f>IF(MIN(V124:V125)=0,"",MIN(V124:V125))</f>
        <v>45201</v>
      </c>
      <c r="W123" s="97">
        <f ca="1">IF(AND(V123="",X123="")=TRUE,"",IF(AND(V123&gt;0,X123="")=TRUE,NETWORKDAYS(V123,TODAY(),Holidays),NETWORKDAYS(V123,X123,Holidays)))</f>
        <v>7</v>
      </c>
      <c r="X123" s="138">
        <f>IF(MAX(X124:X125)=0,"",MAX(X124:X125))</f>
        <v>45211</v>
      </c>
      <c r="Y123" s="96">
        <f>IF(MIN(Y124:Y125)=0,"",MIN(Y124:Y125))</f>
        <v>45203</v>
      </c>
      <c r="Z123" s="97">
        <f t="shared" ca="1" si="112"/>
        <v>6</v>
      </c>
      <c r="AA123" s="98">
        <f>IF(MAX(AA124:AA125)=0,"",MAX(AA124:AA125))</f>
        <v>45211</v>
      </c>
      <c r="AB123" s="99">
        <f>IFERROR(AVERAGE(AB124:AB125),"")</f>
        <v>1</v>
      </c>
      <c r="AC123" s="100" t="str">
        <f t="shared" si="58"/>
        <v>Completed</v>
      </c>
      <c r="AD123" s="154"/>
      <c r="AE123" s="80">
        <v>45245</v>
      </c>
      <c r="AF123" s="81"/>
      <c r="AG123" s="81"/>
      <c r="AH123" s="81"/>
      <c r="AI123" s="81"/>
      <c r="AJ123" s="81"/>
      <c r="AK123" s="81"/>
      <c r="AL123" s="81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  <c r="BA123" s="81"/>
      <c r="BB123" s="81"/>
      <c r="BC123" s="81"/>
      <c r="BD123" s="81"/>
      <c r="BE123" s="81"/>
      <c r="BF123" s="81"/>
      <c r="BG123" s="81"/>
      <c r="BH123" s="81"/>
      <c r="BI123" s="81"/>
      <c r="BJ123" s="81"/>
      <c r="BK123" s="81"/>
      <c r="BL123" s="81"/>
      <c r="BM123" s="81"/>
      <c r="BN123" s="81"/>
      <c r="BO123" s="81"/>
      <c r="BP123" s="81"/>
      <c r="BQ123" s="81"/>
      <c r="BR123" s="81"/>
      <c r="BS123" s="81"/>
      <c r="BT123" s="81"/>
      <c r="BU123" s="81"/>
      <c r="BV123" s="81"/>
      <c r="BW123" s="81"/>
      <c r="BX123" s="81"/>
      <c r="BY123" s="81"/>
      <c r="BZ123" s="81"/>
      <c r="CA123" s="81"/>
      <c r="CB123" s="81"/>
      <c r="CC123" s="81"/>
      <c r="CD123" s="81"/>
      <c r="CE123" s="81"/>
      <c r="CF123" s="81"/>
      <c r="CG123" s="81"/>
      <c r="CH123" s="81"/>
      <c r="CI123" s="81"/>
      <c r="CJ123" s="81"/>
      <c r="CK123" s="81"/>
      <c r="CL123" s="81"/>
      <c r="CM123" s="81"/>
      <c r="CN123" s="81"/>
      <c r="CO123" s="81"/>
      <c r="CP123" s="81"/>
      <c r="CQ123" s="81"/>
      <c r="CR123" s="81"/>
      <c r="CS123" s="81"/>
      <c r="CT123" s="81"/>
      <c r="CU123" s="81"/>
      <c r="CV123" s="81"/>
      <c r="CW123" s="81"/>
      <c r="CX123" s="81"/>
      <c r="CY123" s="81"/>
      <c r="CZ123" s="81"/>
      <c r="DA123" s="81"/>
      <c r="DB123" s="81"/>
      <c r="DC123" s="81"/>
      <c r="DD123" s="81"/>
      <c r="DE123" s="81"/>
      <c r="DF123" s="81"/>
      <c r="DG123" s="81"/>
      <c r="DH123" s="81"/>
      <c r="DI123" s="81"/>
      <c r="DJ123" s="81"/>
      <c r="DK123" s="81"/>
      <c r="DL123" s="81"/>
      <c r="DM123" s="81"/>
      <c r="DN123" s="81"/>
      <c r="DO123" s="81"/>
      <c r="DP123" s="81"/>
      <c r="DQ123" s="81"/>
      <c r="DR123" s="81"/>
      <c r="DS123" s="81"/>
      <c r="DT123" s="81"/>
      <c r="DU123" s="81"/>
      <c r="DV123" s="81"/>
      <c r="DW123" s="81"/>
      <c r="DX123" s="81"/>
      <c r="DY123" s="81"/>
      <c r="DZ123" s="81"/>
      <c r="EA123" s="81"/>
    </row>
    <row r="124" spans="2:131" ht="17.100000000000001" customHeight="1">
      <c r="B124" s="58">
        <v>4</v>
      </c>
      <c r="C124" s="58" t="s">
        <v>658</v>
      </c>
      <c r="D124" s="59"/>
      <c r="E124" s="60"/>
      <c r="F124" s="60"/>
      <c r="G124" s="60" t="s">
        <v>940</v>
      </c>
      <c r="H124" s="62"/>
      <c r="I124" s="145" t="s">
        <v>836</v>
      </c>
      <c r="J124" s="61"/>
      <c r="K124" s="61"/>
      <c r="L124" s="145"/>
      <c r="M124" s="145" t="s">
        <v>836</v>
      </c>
      <c r="N124" s="145" t="s">
        <v>836</v>
      </c>
      <c r="O124" s="61"/>
      <c r="P124" s="61"/>
      <c r="Q124" s="61"/>
      <c r="R124" s="61"/>
      <c r="S124" s="61"/>
      <c r="T124" s="61"/>
      <c r="U124" s="63"/>
      <c r="V124" s="64">
        <v>45201</v>
      </c>
      <c r="W124" s="61">
        <v>7</v>
      </c>
      <c r="X124" s="140">
        <f t="shared" ref="X124:X125" si="115">IF(AND(V124="",W124="")=TRUE,"",WORKDAY(V124,W124-1,Holidays))</f>
        <v>45211</v>
      </c>
      <c r="Y124" s="64">
        <v>45203</v>
      </c>
      <c r="Z124" s="126">
        <f t="shared" ca="1" si="112"/>
        <v>6</v>
      </c>
      <c r="AA124" s="65">
        <v>45211</v>
      </c>
      <c r="AB124" s="66">
        <v>1</v>
      </c>
      <c r="AC124" s="125" t="str">
        <f t="shared" si="58"/>
        <v>Completed</v>
      </c>
      <c r="AD124" s="152"/>
      <c r="AE124" s="80">
        <v>45246</v>
      </c>
      <c r="AF124" s="81"/>
      <c r="AG124" s="81"/>
      <c r="AH124" s="81"/>
      <c r="AI124" s="81"/>
      <c r="AJ124" s="81"/>
      <c r="AK124" s="81"/>
      <c r="AL124" s="81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  <c r="BA124" s="81"/>
      <c r="BB124" s="81"/>
      <c r="BC124" s="81"/>
      <c r="BD124" s="81"/>
      <c r="BE124" s="81"/>
      <c r="BF124" s="81"/>
      <c r="BG124" s="81"/>
      <c r="BH124" s="81"/>
      <c r="BI124" s="81"/>
      <c r="BJ124" s="81"/>
      <c r="BK124" s="81"/>
      <c r="BL124" s="81"/>
      <c r="BM124" s="81"/>
      <c r="BN124" s="81"/>
      <c r="BO124" s="81"/>
      <c r="BP124" s="81"/>
      <c r="BQ124" s="81"/>
      <c r="BR124" s="81"/>
      <c r="BS124" s="81"/>
      <c r="BT124" s="81"/>
      <c r="BU124" s="81"/>
      <c r="BV124" s="81"/>
      <c r="BW124" s="81"/>
      <c r="BX124" s="81"/>
      <c r="BY124" s="81"/>
      <c r="BZ124" s="81"/>
      <c r="CA124" s="81"/>
      <c r="CB124" s="81"/>
      <c r="CC124" s="81"/>
      <c r="CD124" s="81"/>
      <c r="CE124" s="81"/>
      <c r="CF124" s="81"/>
      <c r="CG124" s="81"/>
      <c r="CH124" s="81"/>
      <c r="CI124" s="81"/>
      <c r="CJ124" s="81"/>
      <c r="CK124" s="81"/>
      <c r="CL124" s="81"/>
      <c r="CM124" s="81"/>
      <c r="CN124" s="81"/>
      <c r="CO124" s="81"/>
      <c r="CP124" s="81"/>
      <c r="CQ124" s="81"/>
      <c r="CR124" s="81"/>
      <c r="CS124" s="81"/>
      <c r="CT124" s="81"/>
      <c r="CU124" s="81"/>
      <c r="CV124" s="81"/>
      <c r="CW124" s="81"/>
      <c r="CX124" s="81"/>
      <c r="CY124" s="81"/>
      <c r="CZ124" s="81"/>
      <c r="DA124" s="81"/>
      <c r="DB124" s="81"/>
      <c r="DC124" s="81"/>
      <c r="DD124" s="81"/>
      <c r="DE124" s="81"/>
      <c r="DF124" s="81"/>
      <c r="DG124" s="81"/>
      <c r="DH124" s="81"/>
      <c r="DI124" s="81"/>
      <c r="DJ124" s="81"/>
      <c r="DK124" s="81"/>
      <c r="DL124" s="81"/>
      <c r="DM124" s="81"/>
      <c r="DN124" s="81"/>
      <c r="DO124" s="81"/>
      <c r="DP124" s="81"/>
      <c r="DQ124" s="81"/>
      <c r="DR124" s="81"/>
      <c r="DS124" s="81"/>
      <c r="DT124" s="81"/>
      <c r="DU124" s="81"/>
      <c r="DV124" s="81"/>
      <c r="DW124" s="81"/>
      <c r="DX124" s="81"/>
      <c r="DY124" s="81"/>
      <c r="DZ124" s="81"/>
      <c r="EA124" s="81"/>
    </row>
    <row r="125" spans="2:131" ht="17.100000000000001" customHeight="1">
      <c r="B125" s="58">
        <v>4</v>
      </c>
      <c r="C125" s="58" t="s">
        <v>658</v>
      </c>
      <c r="D125" s="59"/>
      <c r="E125" s="60"/>
      <c r="F125" s="60"/>
      <c r="G125" s="60" t="s">
        <v>941</v>
      </c>
      <c r="H125" s="62"/>
      <c r="I125" s="145" t="s">
        <v>836</v>
      </c>
      <c r="J125" s="61"/>
      <c r="K125" s="61"/>
      <c r="L125" s="145"/>
      <c r="M125" s="145" t="s">
        <v>836</v>
      </c>
      <c r="N125" s="145" t="s">
        <v>836</v>
      </c>
      <c r="O125" s="61"/>
      <c r="P125" s="61"/>
      <c r="Q125" s="61"/>
      <c r="R125" s="61"/>
      <c r="S125" s="61"/>
      <c r="T125" s="61"/>
      <c r="U125" s="63"/>
      <c r="V125" s="64">
        <v>45210</v>
      </c>
      <c r="W125" s="61">
        <v>2</v>
      </c>
      <c r="X125" s="140">
        <f t="shared" si="115"/>
        <v>45211</v>
      </c>
      <c r="Y125" s="64">
        <v>45210</v>
      </c>
      <c r="Z125" s="126">
        <f t="shared" ca="1" si="112"/>
        <v>2</v>
      </c>
      <c r="AA125" s="65">
        <v>45211</v>
      </c>
      <c r="AB125" s="66">
        <v>1</v>
      </c>
      <c r="AC125" s="125" t="str">
        <f t="shared" si="58"/>
        <v>Completed</v>
      </c>
      <c r="AD125" s="152"/>
      <c r="AE125" s="80">
        <v>45247</v>
      </c>
      <c r="AF125" s="81"/>
      <c r="AG125" s="81"/>
      <c r="AH125" s="81"/>
      <c r="AI125" s="81"/>
      <c r="AJ125" s="81"/>
      <c r="AK125" s="81"/>
      <c r="AL125" s="81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  <c r="BA125" s="81"/>
      <c r="BB125" s="81"/>
      <c r="BC125" s="81"/>
      <c r="BD125" s="81"/>
      <c r="BE125" s="81"/>
      <c r="BF125" s="81"/>
      <c r="BG125" s="81"/>
      <c r="BH125" s="81"/>
      <c r="BI125" s="81"/>
      <c r="BJ125" s="81"/>
      <c r="BK125" s="81"/>
      <c r="BL125" s="81"/>
      <c r="BM125" s="81"/>
      <c r="BN125" s="81"/>
      <c r="BO125" s="81"/>
      <c r="BP125" s="81"/>
      <c r="BQ125" s="81"/>
      <c r="BR125" s="81"/>
      <c r="BS125" s="81"/>
      <c r="BT125" s="81"/>
      <c r="BU125" s="81"/>
      <c r="BV125" s="81"/>
      <c r="BW125" s="81"/>
      <c r="BX125" s="81"/>
      <c r="BY125" s="81"/>
      <c r="BZ125" s="81"/>
      <c r="CA125" s="81"/>
      <c r="CB125" s="81"/>
      <c r="CC125" s="81"/>
      <c r="CD125" s="81"/>
      <c r="CE125" s="81"/>
      <c r="CF125" s="81"/>
      <c r="CG125" s="81"/>
      <c r="CH125" s="81"/>
      <c r="CI125" s="81"/>
      <c r="CJ125" s="81"/>
      <c r="CK125" s="81"/>
      <c r="CL125" s="81"/>
      <c r="CM125" s="81"/>
      <c r="CN125" s="81"/>
      <c r="CO125" s="81"/>
      <c r="CP125" s="81"/>
      <c r="CQ125" s="81"/>
      <c r="CR125" s="81"/>
      <c r="CS125" s="81"/>
      <c r="CT125" s="81"/>
      <c r="CU125" s="81"/>
      <c r="CV125" s="81"/>
      <c r="CW125" s="81"/>
      <c r="CX125" s="81"/>
      <c r="CY125" s="81"/>
      <c r="CZ125" s="81"/>
      <c r="DA125" s="81"/>
      <c r="DB125" s="81"/>
      <c r="DC125" s="81"/>
      <c r="DD125" s="81"/>
      <c r="DE125" s="81"/>
      <c r="DF125" s="81"/>
      <c r="DG125" s="81"/>
      <c r="DH125" s="81"/>
      <c r="DI125" s="81"/>
      <c r="DJ125" s="81"/>
      <c r="DK125" s="81"/>
      <c r="DL125" s="81"/>
      <c r="DM125" s="81"/>
      <c r="DN125" s="81"/>
      <c r="DO125" s="81"/>
      <c r="DP125" s="81"/>
      <c r="DQ125" s="81"/>
      <c r="DR125" s="81"/>
      <c r="DS125" s="81"/>
      <c r="DT125" s="81"/>
      <c r="DU125" s="81"/>
      <c r="DV125" s="81"/>
      <c r="DW125" s="81"/>
      <c r="DX125" s="81"/>
      <c r="DY125" s="81"/>
      <c r="DZ125" s="81"/>
      <c r="EA125" s="81"/>
    </row>
    <row r="126" spans="2:131" ht="17.100000000000001" customHeight="1">
      <c r="B126" s="92">
        <v>3</v>
      </c>
      <c r="C126" s="92" t="s">
        <v>655</v>
      </c>
      <c r="D126" s="93"/>
      <c r="E126" s="94"/>
      <c r="F126" s="94" t="s">
        <v>942</v>
      </c>
      <c r="G126" s="94"/>
      <c r="H126" s="95"/>
      <c r="I126" s="118" t="str">
        <f t="shared" ref="I126:U126" si="116">IF(COUNTIF(I127:I128,"●")&gt;0,"●","")</f>
        <v>●</v>
      </c>
      <c r="J126" s="91" t="str">
        <f t="shared" si="116"/>
        <v>●</v>
      </c>
      <c r="K126" s="91" t="str">
        <f t="shared" si="116"/>
        <v/>
      </c>
      <c r="L126" s="118" t="str">
        <f t="shared" si="116"/>
        <v/>
      </c>
      <c r="M126" s="91" t="str">
        <f t="shared" si="116"/>
        <v>●</v>
      </c>
      <c r="N126" s="144" t="str">
        <f t="shared" si="116"/>
        <v>●</v>
      </c>
      <c r="O126" s="144" t="str">
        <f t="shared" si="116"/>
        <v/>
      </c>
      <c r="P126" s="144" t="str">
        <f t="shared" ref="P126" si="117">IF(COUNTIF(P127:P128,"●")&gt;0,"●","")</f>
        <v/>
      </c>
      <c r="Q126" s="144" t="str">
        <f t="shared" si="116"/>
        <v/>
      </c>
      <c r="R126" s="144" t="str">
        <f t="shared" si="116"/>
        <v/>
      </c>
      <c r="S126" s="144" t="str">
        <f t="shared" si="116"/>
        <v/>
      </c>
      <c r="T126" s="144" t="str">
        <f t="shared" si="116"/>
        <v/>
      </c>
      <c r="U126" s="144" t="str">
        <f t="shared" si="116"/>
        <v/>
      </c>
      <c r="V126" s="96">
        <f>IF(MIN(V127:V128)=0,"",MIN(V127:V128))</f>
        <v>45194</v>
      </c>
      <c r="W126" s="97">
        <f ca="1">IF(AND(V126="",X126="")=TRUE,"",IF(AND(V126&gt;0,X126="")=TRUE,NETWORKDAYS(V126,TODAY(),Holidays),NETWORKDAYS(V126,X126,Holidays)))</f>
        <v>11</v>
      </c>
      <c r="X126" s="138">
        <f>IF(MAX(X127:X128)=0,"",MAX(X127:X128))</f>
        <v>45212</v>
      </c>
      <c r="Y126" s="96">
        <f>IF(MIN(Y127:Y128)=0,"",MIN(Y127:Y128))</f>
        <v>45194</v>
      </c>
      <c r="Z126" s="97">
        <f t="shared" ref="Z126:Z128" ca="1" si="118">IF(AND(Y126="",AA126="")=TRUE,"",IF(AND(Y126&gt;0,AA126="")=TRUE,NETWORKDAYS(Y126,TODAY(),Holidays),NETWORKDAYS(Y126,AA126,Holidays)))</f>
        <v>11</v>
      </c>
      <c r="AA126" s="98">
        <f>IF(MAX(AA127:AA128)=0,"",MAX(AA127:AA128))</f>
        <v>45212</v>
      </c>
      <c r="AB126" s="99">
        <f>IFERROR(AVERAGE(AB127:AB128),"")</f>
        <v>1</v>
      </c>
      <c r="AC126" s="100" t="str">
        <f t="shared" si="58"/>
        <v>Completed</v>
      </c>
      <c r="AD126" s="154"/>
      <c r="AE126" s="80"/>
      <c r="AF126" s="81"/>
      <c r="AG126" s="81"/>
      <c r="AH126" s="81"/>
      <c r="AI126" s="81"/>
      <c r="AJ126" s="81"/>
      <c r="AK126" s="81"/>
      <c r="AL126" s="81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  <c r="BA126" s="81"/>
      <c r="BB126" s="81"/>
      <c r="BC126" s="81"/>
      <c r="BD126" s="81"/>
      <c r="BE126" s="81"/>
      <c r="BF126" s="81"/>
      <c r="BG126" s="81"/>
      <c r="BH126" s="81"/>
      <c r="BI126" s="81"/>
      <c r="BJ126" s="81"/>
      <c r="BK126" s="81"/>
      <c r="BL126" s="81"/>
      <c r="BM126" s="81"/>
      <c r="BN126" s="81"/>
      <c r="BO126" s="81"/>
      <c r="BP126" s="81"/>
      <c r="BQ126" s="81"/>
      <c r="BR126" s="81"/>
      <c r="BS126" s="81"/>
      <c r="BT126" s="81"/>
      <c r="BU126" s="81"/>
      <c r="BV126" s="81"/>
      <c r="BW126" s="81"/>
      <c r="BX126" s="81"/>
      <c r="BY126" s="81"/>
      <c r="BZ126" s="81"/>
      <c r="CA126" s="81"/>
      <c r="CB126" s="81"/>
      <c r="CC126" s="81"/>
      <c r="CD126" s="81"/>
      <c r="CE126" s="81"/>
      <c r="CF126" s="81"/>
      <c r="CG126" s="81"/>
      <c r="CH126" s="81"/>
      <c r="CI126" s="81"/>
      <c r="CJ126" s="81"/>
      <c r="CK126" s="81"/>
      <c r="CL126" s="81"/>
      <c r="CM126" s="81"/>
      <c r="CN126" s="81"/>
      <c r="CO126" s="81"/>
      <c r="CP126" s="81"/>
      <c r="CQ126" s="81"/>
      <c r="CR126" s="81"/>
      <c r="CS126" s="81"/>
      <c r="CT126" s="81"/>
      <c r="CU126" s="81"/>
      <c r="CV126" s="81"/>
      <c r="CW126" s="81"/>
      <c r="CX126" s="81"/>
      <c r="CY126" s="81"/>
      <c r="CZ126" s="81"/>
      <c r="DA126" s="81"/>
      <c r="DB126" s="81"/>
      <c r="DC126" s="81"/>
      <c r="DD126" s="81"/>
      <c r="DE126" s="81"/>
      <c r="DF126" s="81"/>
      <c r="DG126" s="81"/>
      <c r="DH126" s="81"/>
      <c r="DI126" s="81"/>
      <c r="DJ126" s="81"/>
      <c r="DK126" s="81"/>
      <c r="DL126" s="81"/>
      <c r="DM126" s="81"/>
      <c r="DN126" s="81"/>
      <c r="DO126" s="81"/>
      <c r="DP126" s="81"/>
      <c r="DQ126" s="81"/>
      <c r="DR126" s="81"/>
      <c r="DS126" s="81"/>
      <c r="DT126" s="81"/>
      <c r="DU126" s="81"/>
      <c r="DV126" s="81"/>
      <c r="DW126" s="81"/>
      <c r="DX126" s="81"/>
      <c r="DY126" s="81"/>
      <c r="DZ126" s="81"/>
      <c r="EA126" s="81"/>
    </row>
    <row r="127" spans="2:131" ht="16.5" customHeight="1">
      <c r="B127" s="58">
        <v>4</v>
      </c>
      <c r="C127" s="58" t="s">
        <v>658</v>
      </c>
      <c r="D127" s="59"/>
      <c r="E127" s="60"/>
      <c r="F127" s="60"/>
      <c r="G127" s="60" t="s">
        <v>943</v>
      </c>
      <c r="H127" s="62"/>
      <c r="I127" s="145" t="s">
        <v>836</v>
      </c>
      <c r="J127" s="145" t="s">
        <v>836</v>
      </c>
      <c r="K127" s="61"/>
      <c r="L127" s="145"/>
      <c r="M127" s="145" t="s">
        <v>836</v>
      </c>
      <c r="N127" s="145" t="s">
        <v>836</v>
      </c>
      <c r="O127" s="61"/>
      <c r="P127" s="61"/>
      <c r="Q127" s="61"/>
      <c r="R127" s="61"/>
      <c r="S127" s="61"/>
      <c r="T127" s="61"/>
      <c r="U127" s="63"/>
      <c r="V127" s="64">
        <v>45194</v>
      </c>
      <c r="W127" s="61">
        <v>11</v>
      </c>
      <c r="X127" s="140">
        <f t="shared" ref="X127" si="119">IF(AND(V127="",W127="")=TRUE,"",WORKDAY(V127,W127-1,Holidays))</f>
        <v>45212</v>
      </c>
      <c r="Y127" s="64">
        <v>45194</v>
      </c>
      <c r="Z127" s="126">
        <f t="shared" ca="1" si="118"/>
        <v>11</v>
      </c>
      <c r="AA127" s="65">
        <v>45212</v>
      </c>
      <c r="AB127" s="66">
        <v>1</v>
      </c>
      <c r="AC127" s="125" t="str">
        <f t="shared" si="58"/>
        <v>Completed</v>
      </c>
      <c r="AD127" s="152"/>
      <c r="AE127" s="80"/>
      <c r="AF127" s="81"/>
      <c r="AG127" s="81"/>
      <c r="AH127" s="81"/>
      <c r="AI127" s="81"/>
      <c r="AJ127" s="81"/>
      <c r="AK127" s="81"/>
      <c r="AL127" s="81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  <c r="BA127" s="81"/>
      <c r="BB127" s="81"/>
      <c r="BC127" s="81"/>
      <c r="BD127" s="81"/>
      <c r="BE127" s="81"/>
      <c r="BF127" s="81"/>
      <c r="BG127" s="81"/>
      <c r="BH127" s="81"/>
      <c r="BI127" s="81"/>
      <c r="BJ127" s="81"/>
      <c r="BK127" s="81"/>
      <c r="BL127" s="81"/>
      <c r="BM127" s="81"/>
      <c r="BN127" s="81"/>
      <c r="BO127" s="81"/>
      <c r="BP127" s="81"/>
      <c r="BQ127" s="81"/>
      <c r="BR127" s="81"/>
      <c r="BS127" s="81"/>
      <c r="BT127" s="81"/>
      <c r="BU127" s="81"/>
      <c r="BV127" s="81"/>
      <c r="BW127" s="81"/>
      <c r="BX127" s="81"/>
      <c r="BY127" s="81"/>
      <c r="BZ127" s="81"/>
      <c r="CA127" s="81"/>
      <c r="CB127" s="81"/>
      <c r="CC127" s="81"/>
      <c r="CD127" s="81"/>
      <c r="CE127" s="81"/>
      <c r="CF127" s="81"/>
      <c r="CG127" s="81"/>
      <c r="CH127" s="81"/>
      <c r="CI127" s="81"/>
      <c r="CJ127" s="81"/>
      <c r="CK127" s="81"/>
      <c r="CL127" s="81"/>
      <c r="CM127" s="81"/>
      <c r="CN127" s="81"/>
      <c r="CO127" s="81"/>
      <c r="CP127" s="81"/>
      <c r="CQ127" s="81"/>
      <c r="CR127" s="81"/>
      <c r="CS127" s="81"/>
      <c r="CT127" s="81"/>
      <c r="CU127" s="81"/>
      <c r="CV127" s="81"/>
      <c r="CW127" s="81"/>
      <c r="CX127" s="81"/>
      <c r="CY127" s="81"/>
      <c r="CZ127" s="81"/>
      <c r="DA127" s="81"/>
      <c r="DB127" s="81"/>
      <c r="DC127" s="81"/>
      <c r="DD127" s="81"/>
      <c r="DE127" s="81"/>
      <c r="DF127" s="81"/>
      <c r="DG127" s="81"/>
      <c r="DH127" s="81"/>
      <c r="DI127" s="81"/>
      <c r="DJ127" s="81"/>
      <c r="DK127" s="81"/>
      <c r="DL127" s="81"/>
      <c r="DM127" s="81"/>
      <c r="DN127" s="81"/>
      <c r="DO127" s="81"/>
      <c r="DP127" s="81"/>
      <c r="DQ127" s="81"/>
      <c r="DR127" s="81"/>
      <c r="DS127" s="81"/>
      <c r="DT127" s="81"/>
      <c r="DU127" s="81"/>
      <c r="DV127" s="81"/>
      <c r="DW127" s="81"/>
      <c r="DX127" s="81"/>
      <c r="DY127" s="81"/>
      <c r="DZ127" s="81"/>
      <c r="EA127" s="81"/>
    </row>
    <row r="128" spans="2:131" ht="17.100000000000001" customHeight="1">
      <c r="B128" s="58">
        <v>4</v>
      </c>
      <c r="C128" s="58" t="s">
        <v>658</v>
      </c>
      <c r="D128" s="59"/>
      <c r="E128" s="60"/>
      <c r="F128" s="60"/>
      <c r="G128" s="60" t="s">
        <v>1001</v>
      </c>
      <c r="H128" s="62"/>
      <c r="I128" s="145" t="s">
        <v>836</v>
      </c>
      <c r="J128" s="145" t="s">
        <v>836</v>
      </c>
      <c r="K128" s="61"/>
      <c r="L128" s="145"/>
      <c r="M128" s="145" t="s">
        <v>836</v>
      </c>
      <c r="N128" s="145" t="s">
        <v>836</v>
      </c>
      <c r="O128" s="61"/>
      <c r="P128" s="61"/>
      <c r="Q128" s="61"/>
      <c r="R128" s="61"/>
      <c r="S128" s="61"/>
      <c r="T128" s="61"/>
      <c r="U128" s="63"/>
      <c r="V128" s="64">
        <v>45194</v>
      </c>
      <c r="W128" s="61">
        <v>11</v>
      </c>
      <c r="X128" s="140">
        <f>IF(AND(V128="",W128="")=TRUE,"",WORKDAY(V128,W128-1,Holidays))</f>
        <v>45212</v>
      </c>
      <c r="Y128" s="64">
        <v>45194</v>
      </c>
      <c r="Z128" s="126">
        <f t="shared" ca="1" si="118"/>
        <v>11</v>
      </c>
      <c r="AA128" s="65">
        <v>45212</v>
      </c>
      <c r="AB128" s="66">
        <v>1</v>
      </c>
      <c r="AC128" s="125" t="str">
        <f t="shared" si="58"/>
        <v>Completed</v>
      </c>
      <c r="AD128" s="152"/>
      <c r="AE128" s="80"/>
      <c r="AF128" s="81"/>
      <c r="AG128" s="81"/>
      <c r="AH128" s="81"/>
      <c r="AI128" s="81"/>
      <c r="AJ128" s="81"/>
      <c r="AK128" s="81"/>
      <c r="AL128" s="81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  <c r="BA128" s="81"/>
      <c r="BB128" s="81"/>
      <c r="BC128" s="81"/>
      <c r="BD128" s="81"/>
      <c r="BE128" s="81"/>
      <c r="BF128" s="81"/>
      <c r="BG128" s="81"/>
      <c r="BH128" s="81"/>
      <c r="BI128" s="81"/>
      <c r="BJ128" s="81"/>
      <c r="BK128" s="81"/>
      <c r="BL128" s="81"/>
      <c r="BM128" s="81"/>
      <c r="BN128" s="81"/>
      <c r="BO128" s="81"/>
      <c r="BP128" s="81"/>
      <c r="BQ128" s="81"/>
      <c r="BR128" s="81"/>
      <c r="BS128" s="81"/>
      <c r="BT128" s="81"/>
      <c r="BU128" s="81"/>
      <c r="BV128" s="81"/>
      <c r="BW128" s="81"/>
      <c r="BX128" s="81"/>
      <c r="BY128" s="81"/>
      <c r="BZ128" s="81"/>
      <c r="CA128" s="81"/>
      <c r="CB128" s="81"/>
      <c r="CC128" s="81"/>
      <c r="CD128" s="81"/>
      <c r="CE128" s="81"/>
      <c r="CF128" s="81"/>
      <c r="CG128" s="81"/>
      <c r="CH128" s="81"/>
      <c r="CI128" s="81"/>
      <c r="CJ128" s="81"/>
      <c r="CK128" s="81"/>
      <c r="CL128" s="81"/>
      <c r="CM128" s="81"/>
      <c r="CN128" s="81"/>
      <c r="CO128" s="81"/>
      <c r="CP128" s="81"/>
      <c r="CQ128" s="81"/>
      <c r="CR128" s="81"/>
      <c r="CS128" s="81"/>
      <c r="CT128" s="81"/>
      <c r="CU128" s="81"/>
      <c r="CV128" s="81"/>
      <c r="CW128" s="81"/>
      <c r="CX128" s="81"/>
      <c r="CY128" s="81"/>
      <c r="CZ128" s="81"/>
      <c r="DA128" s="81"/>
      <c r="DB128" s="81"/>
      <c r="DC128" s="81"/>
      <c r="DD128" s="81"/>
      <c r="DE128" s="81"/>
      <c r="DF128" s="81"/>
      <c r="DG128" s="81"/>
      <c r="DH128" s="81"/>
      <c r="DI128" s="81"/>
      <c r="DJ128" s="81"/>
      <c r="DK128" s="81"/>
      <c r="DL128" s="81"/>
      <c r="DM128" s="81"/>
      <c r="DN128" s="81"/>
      <c r="DO128" s="81"/>
      <c r="DP128" s="81"/>
      <c r="DQ128" s="81"/>
      <c r="DR128" s="81"/>
      <c r="DS128" s="81"/>
      <c r="DT128" s="81"/>
      <c r="DU128" s="81"/>
      <c r="DV128" s="81"/>
      <c r="DW128" s="81"/>
      <c r="DX128" s="81"/>
      <c r="DY128" s="81"/>
      <c r="DZ128" s="81"/>
      <c r="EA128" s="81"/>
    </row>
  </sheetData>
  <autoFilter ref="B15:EA128" xr:uid="{28ABD957-C650-4D36-B243-AA7EAF87FD4A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20" showButton="0"/>
    <filterColumn colId="21" showButton="0"/>
    <filterColumn colId="23" showButton="0"/>
    <filterColumn colId="24" showButton="0"/>
    <filterColumn colId="26" showButton="0"/>
  </autoFilter>
  <mergeCells count="18">
    <mergeCell ref="AB15:AC15"/>
    <mergeCell ref="AD15:AD16"/>
    <mergeCell ref="B12:C13"/>
    <mergeCell ref="D12:G13"/>
    <mergeCell ref="B15:H15"/>
    <mergeCell ref="L15:U15"/>
    <mergeCell ref="V15:X15"/>
    <mergeCell ref="Y15:AA15"/>
    <mergeCell ref="B2:H2"/>
    <mergeCell ref="B8:H9"/>
    <mergeCell ref="V8:X8"/>
    <mergeCell ref="V9:W9"/>
    <mergeCell ref="B10:C10"/>
    <mergeCell ref="D10:G10"/>
    <mergeCell ref="H10:H11"/>
    <mergeCell ref="V10:V13"/>
    <mergeCell ref="B11:C11"/>
    <mergeCell ref="D11:G11"/>
  </mergeCells>
  <phoneticPr fontId="1" type="noConversion"/>
  <conditionalFormatting sqref="AE15:EA16">
    <cfRule type="expression" dxfId="6" priority="9">
      <formula>AE$15=period_selected</formula>
    </cfRule>
  </conditionalFormatting>
  <conditionalFormatting sqref="AE17:EA128">
    <cfRule type="expression" dxfId="5" priority="3">
      <formula>완료율</formula>
    </cfRule>
    <cfRule type="expression" dxfId="4" priority="4">
      <formula>PercentCompleteBeyond</formula>
    </cfRule>
    <cfRule type="expression" dxfId="3" priority="5">
      <formula>실제</formula>
    </cfRule>
    <cfRule type="expression" dxfId="2" priority="6">
      <formula>ActualBeyond</formula>
    </cfRule>
    <cfRule type="expression" dxfId="1" priority="7">
      <formula>계획</formula>
    </cfRule>
    <cfRule type="expression" dxfId="0" priority="8">
      <formula>AE$16=period_selected</formula>
    </cfRule>
  </conditionalFormatting>
  <conditionalFormatting sqref="AC1:AC1048576">
    <cfRule type="iconSet" priority="2">
      <iconSet iconSet="3Flags">
        <cfvo type="percent" val="0"/>
        <cfvo type="percent" val="33"/>
        <cfvo type="percent" val="67"/>
      </iconSet>
    </cfRule>
  </conditionalFormatting>
  <conditionalFormatting sqref="AB1:AB7 AB14:AB1048576">
    <cfRule type="iconSet" priority="1">
      <iconSet iconSet="3Symbols">
        <cfvo type="percent" val="0"/>
        <cfvo type="percent" val="0" gte="0"/>
        <cfvo type="percent" val="100"/>
      </iconSet>
    </cfRule>
  </conditionalFormatting>
  <conditionalFormatting sqref="X9">
    <cfRule type="iconSet" priority="10">
      <iconSet>
        <cfvo type="percent" val="0"/>
        <cfvo type="num" val="0.4"/>
        <cfvo type="num" val="0.7"/>
      </iconSet>
    </cfRule>
  </conditionalFormatting>
  <dataValidations count="2">
    <dataValidation type="list" allowBlank="1" showInputMessage="1" showErrorMessage="1" sqref="D12:G13" xr:uid="{99099FA4-F26C-4CBC-860A-9C52C5B6307E}">
      <formula1>WorkingDays</formula1>
    </dataValidation>
    <dataValidation allowBlank="1" showInputMessage="1" showErrorMessage="1" prompt="H2 셀에서 강조 표시할 기간을 선택합니다. 차트 범례는 J2~AI2에 있습니다." sqref="AR5:BD14 AE12:AQ14 Z14:AA14 AR4:EA4" xr:uid="{D392BD32-367D-4E4B-80B3-C5E37AC7E8A3}"/>
  </dataValidations>
  <printOptions horizontalCentered="1"/>
  <pageMargins left="0.45" right="0.45" top="0.5" bottom="0.5" header="0.3" footer="0.3"/>
  <pageSetup paperSize="9" scale="16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단추3_Click">
                <anchor moveWithCells="1" sizeWithCells="1">
                  <from>
                    <xdr:col>1</xdr:col>
                    <xdr:colOff>28575</xdr:colOff>
                    <xdr:row>2</xdr:row>
                    <xdr:rowOff>28575</xdr:rowOff>
                  </from>
                  <to>
                    <xdr:col>2</xdr:col>
                    <xdr:colOff>257175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DropDown="1" showInputMessage="1" showErrorMessage="1" errorTitle="작업 일자 입력 오류" error="입력하시는 날짜는 휴일에 해당하므로 날짜를 다시 확인 후 입력하시기 바랍니다" promptTitle="Working Day(평일) 미입력시 경고메시지 발생" xr:uid="{733F2704-6118-45A8-B910-7254D183CB32}">
          <x14:formula1>
            <xm:f>Table_CalendarWD!$B$5:$B$114</xm:f>
          </x14:formula1>
          <xm:sqref>V20 V54</xm:sqref>
        </x14:dataValidation>
        <x14:dataValidation type="list" allowBlank="1" showDropDown="1" showInputMessage="1" showErrorMessage="1" xr:uid="{80137482-1B75-45AF-B1E1-FA4DDEF16657}">
          <x14:formula1>
            <xm:f>Table_CalendarWD!$B$5:$B$114</xm:f>
          </x14:formula1>
          <xm:sqref>V1:V19 V21:V53 V55:V1048576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de98abc-ba30-451a-8ce6-4c4c6166e473">
      <Terms xmlns="http://schemas.microsoft.com/office/infopath/2007/PartnerControls"/>
    </lcf76f155ced4ddcb4097134ff3c332f>
    <TaxCatchAll xmlns="b62bbea0-3efe-4948-8e66-8df7f1e51339" xsi:nil="true"/>
    <_xc815__xb82c__xc21c__xc11c_ xmlns="0de98abc-ba30-451a-8ce6-4c4c6166e473">1</_xc815__xb82c__xc21c__xc11c_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7BDFA59B5C858E4683FD8275FF124205" ma:contentTypeVersion="15" ma:contentTypeDescription="새 문서를 만듭니다." ma:contentTypeScope="" ma:versionID="01f6db09b504f3b38413d7953b357d49">
  <xsd:schema xmlns:xsd="http://www.w3.org/2001/XMLSchema" xmlns:xs="http://www.w3.org/2001/XMLSchema" xmlns:p="http://schemas.microsoft.com/office/2006/metadata/properties" xmlns:ns2="0de98abc-ba30-451a-8ce6-4c4c6166e473" xmlns:ns3="b62bbea0-3efe-4948-8e66-8df7f1e51339" targetNamespace="http://schemas.microsoft.com/office/2006/metadata/properties" ma:root="true" ma:fieldsID="08ab72c9b817ddd6b1b4fc3875e07286" ns2:_="" ns3:_="">
    <xsd:import namespace="0de98abc-ba30-451a-8ce6-4c4c6166e473"/>
    <xsd:import namespace="b62bbea0-3efe-4948-8e66-8df7f1e513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_xc815__xb82c__xc21c__xc11c_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e98abc-ba30-451a-8ce6-4c4c6166e4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2" nillable="true" ma:taxonomy="true" ma:internalName="lcf76f155ced4ddcb4097134ff3c332f" ma:taxonomyFieldName="MediaServiceImageTags" ma:displayName="이미지 태그" ma:readOnly="false" ma:fieldId="{5cf76f15-5ced-4ddc-b409-7134ff3c332f}" ma:taxonomyMulti="true" ma:sspId="4d630e15-a7d3-4b71-8e53-35de230cf9f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xc815__xb82c__xc21c__xc11c_" ma:index="20" nillable="true" ma:displayName="정렬순서" ma:format="Dropdown" ma:internalName="_xc815__xb82c__xc21c__xc11c_" ma:percentage="FALSE">
      <xsd:simpleType>
        <xsd:restriction base="dms:Number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2bbea0-3efe-4948-8e66-8df7f1e51339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72621c50-1ce2-458e-bc6b-b632176d224e}" ma:internalName="TaxCatchAll" ma:showField="CatchAllData" ma:web="b62bbea0-3efe-4948-8e66-8df7f1e513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FF37D5-AADF-4AD6-AAF3-69A96FB1B5A7}">
  <ds:schemaRefs>
    <ds:schemaRef ds:uri="http://schemas.microsoft.com/office/2006/metadata/properties"/>
    <ds:schemaRef ds:uri="http://schemas.microsoft.com/office/infopath/2007/PartnerControls"/>
    <ds:schemaRef ds:uri="0de98abc-ba30-451a-8ce6-4c4c6166e473"/>
    <ds:schemaRef ds:uri="b62bbea0-3efe-4948-8e66-8df7f1e51339"/>
  </ds:schemaRefs>
</ds:datastoreItem>
</file>

<file path=customXml/itemProps2.xml><?xml version="1.0" encoding="utf-8"?>
<ds:datastoreItem xmlns:ds="http://schemas.openxmlformats.org/officeDocument/2006/customXml" ds:itemID="{2D3830B0-81F0-4427-8DD8-30F9DFC1709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2895D8A-1274-4B1C-94B1-B6C892600F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4B04C17-1CFF-4E05-A942-8C61304196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e98abc-ba30-451a-8ce6-4c4c6166e473"/>
    <ds:schemaRef ds:uri="b62bbea0-3efe-4948-8e66-8df7f1e513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Home</vt:lpstr>
      <vt:lpstr>Table_CalendarTotal</vt:lpstr>
      <vt:lpstr>Table_CalendarHD</vt:lpstr>
      <vt:lpstr>Table_CalendarWD</vt:lpstr>
      <vt:lpstr>Table_Project</vt:lpstr>
      <vt:lpstr>Customer_TFT</vt:lpstr>
      <vt:lpstr>Table_전체직원목록</vt:lpstr>
      <vt:lpstr>Table_Developer</vt:lpstr>
      <vt:lpstr>Sheet1</vt:lpstr>
      <vt:lpstr>WBS_Schedule_Rev2.0</vt:lpstr>
      <vt:lpstr>WBS_Schedule_Rev2.1</vt:lpstr>
      <vt:lpstr>WBS_Schedule_Rev2.1!DeveloperTFT</vt:lpstr>
      <vt:lpstr>DeveloperTFT</vt:lpstr>
      <vt:lpstr>WBS_Schedule_Rev2.1!Holidays</vt:lpstr>
      <vt:lpstr>Holidays</vt:lpstr>
      <vt:lpstr>WBS_Schedule_Rev2.0!period_selected</vt:lpstr>
      <vt:lpstr>WBS_Schedule_Rev2.1!period_selected</vt:lpstr>
      <vt:lpstr>Home!Print_Area</vt:lpstr>
      <vt:lpstr>WBS_Schedule_Rev2.0!Print_Titles</vt:lpstr>
      <vt:lpstr>WBS_Schedule_Rev2.1!Print_Titles</vt:lpstr>
      <vt:lpstr>WBS_Schedule_Rev2.1!WorkingDays</vt:lpstr>
      <vt:lpstr>WorkingDays</vt:lpstr>
      <vt:lpstr>WBS_Schedule_Rev2.1!성명직급</vt:lpstr>
      <vt:lpstr>성명직급</vt:lpstr>
      <vt:lpstr>WBS_Schedule_Rev2.0!제목영역..BO60</vt:lpstr>
      <vt:lpstr>WBS_Schedule_Rev2.1!제목영역..BO60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Jake Jeong</dc:creator>
  <cp:keywords/>
  <dc:description/>
  <cp:lastModifiedBy>Jake Jeong(정진우)</cp:lastModifiedBy>
  <cp:revision/>
  <dcterms:created xsi:type="dcterms:W3CDTF">2023-01-19T05:43:14Z</dcterms:created>
  <dcterms:modified xsi:type="dcterms:W3CDTF">2024-06-03T17:40:54Z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0x0101007BDFA59B5C858E4683FD8275FF124205</vt:lpwstr>
  </property>
  <property fmtid="{D5CDD505-2E9C-101B-9397-08002B2CF9AE}" pid="3" name="MediaServiceImageTags">
    <vt:lpwstr/>
  </property>
</Properties>
</file>